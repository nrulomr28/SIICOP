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15" yWindow="2490" windowWidth="12120" windowHeight="4860" activeTab="9"/>
  </bookViews>
  <sheets>
    <sheet name="indicador 1" sheetId="26" r:id="rId1"/>
    <sheet name="indicador 2" sheetId="45" r:id="rId2"/>
    <sheet name="indicador 3" sheetId="52" r:id="rId3"/>
    <sheet name="indicador 4" sheetId="56" r:id="rId4"/>
    <sheet name="indicador 5" sheetId="59" r:id="rId5"/>
    <sheet name="indicador 6" sheetId="60" r:id="rId6"/>
    <sheet name="indicador 7" sheetId="61" r:id="rId7"/>
    <sheet name="indicador 8" sheetId="62" r:id="rId8"/>
    <sheet name="indicador 9" sheetId="63" r:id="rId9"/>
    <sheet name="indicador 10" sheetId="64" r:id="rId10"/>
  </sheets>
  <definedNames>
    <definedName name="_xlnm.Print_Area" localSheetId="0">'indicador 1'!$B$2:$S$17</definedName>
    <definedName name="_xlnm.Print_Area" localSheetId="1">'indicador 2'!$B$2:$S$22</definedName>
  </definedNames>
  <calcPr calcId="152511" fullCalcOnLoad="1"/>
</workbook>
</file>

<file path=xl/sharedStrings.xml><?xml version="1.0" encoding="utf-8"?>
<sst xmlns="http://schemas.openxmlformats.org/spreadsheetml/2006/main" count="68" uniqueCount="68">
  <si>
    <t xml:space="preserve">Dirección General de Vinculación Institucional </t>
  </si>
  <si>
    <t>CLAVE: 114S--14001-173-DNE390Y-100115.1.004</t>
  </si>
  <si>
    <t>ELEMENTOS PROGRAMÁTICOS</t>
  </si>
  <si>
    <t>META ANUAL</t>
  </si>
  <si>
    <t xml:space="preserve">A  V  A   N  C  E    F Í S I C O    D E    M E T A S    2021</t>
  </si>
  <si>
    <t xml:space="preserve">NOMBRE </t>
  </si>
  <si>
    <t>MÉTODO</t>
  </si>
  <si>
    <t>PERIODICIDAD</t>
  </si>
  <si>
    <t>DEL</t>
  </si>
  <si>
    <t>DE</t>
  </si>
  <si>
    <t>PROGRAMADO</t>
  </si>
  <si>
    <t>INDICADOR</t>
  </si>
  <si>
    <t>CÁLCULO</t>
  </si>
  <si>
    <t>ALCANZADO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</si>
  <si>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</si>
  <si>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</si>
  <si>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</si>
  <si>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</si>
  <si>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</si>
  <si>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</si>
  <si>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</si>
  <si>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</si>
  <si>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</si>
  <si>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</si>
  <si>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</si>
  <si>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</si>
  <si>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</si>
  <si>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Proporción de Redes Vecinales atendidas por la Dirección de Vinculación Institucional.</t>
  </si>
  <si>
    <t>(Número de redes vecinales atendidas/Número de redes vecinales programadas para atender)*100</t>
  </si>
  <si>
    <t xml:space="preserve">Mensual </t>
  </si>
  <si>
    <t>Alcanzado</t>
  </si>
  <si>
    <t>AVANCE EN EL PERIODO</t>
  </si>
  <si>
    <t xml:space="preserve">JUSTIFICACIÓN 
El incumplimiento se debe a la contingencia del COVID-19, por cancelación de acciones..</t>
  </si>
  <si>
    <t xml:space="preserve">  </t>
  </si>
  <si>
    <t>CLAVE: 114S--14001-173-DNE390Y-100115.1.003</t>
  </si>
  <si>
    <t>Proporción de convenios celebrados con empresas en beneficio del personal de la Secretaría de Seguridad Pública.</t>
  </si>
  <si>
    <t xml:space="preserve">
(Número de convenios celebrados/Número de convenios programados a celebrar)*100
</t>
  </si>
  <si>
    <t>Mensual</t>
  </si>
  <si>
    <t>JUSTIFICACIÓN</t>
  </si>
  <si>
    <t>El incumplimiento se debe a la contingencia del COVID-19, por cancelación de acciones.</t>
  </si>
  <si>
    <t>CLAVE: 114S--14001-173-DNE390Y-100115.1.002</t>
  </si>
  <si>
    <t xml:space="preserve">Proporción de foros o ferias de prevención del delito. </t>
  </si>
  <si>
    <t xml:space="preserve">(Número de foros o ferias de prevención del delito realizados / Número de foros y ferias  programados en materia de prevención del delito)* 100</t>
  </si>
  <si>
    <t>Bimestral</t>
  </si>
  <si>
    <t xml:space="preserve">JUSTIFICACIÓN
El incumplimiento se debe a la contingencia del COVID-19, por cancelación de acciones.</t>
  </si>
  <si>
    <t>CLAVE: 114S--14001-173-DNE390Y-100115.1.001</t>
  </si>
  <si>
    <t>Proporción de beneficiados en materia de prevención del delito.</t>
  </si>
  <si>
    <t xml:space="preserve">(Número de beneficiados en materia de prevención del delito /  Número de beneficiados programados en materia de prevención del delito) *100</t>
  </si>
  <si>
    <t xml:space="preserve"> </t>
  </si>
  <si>
    <t>CLAVE: 114S--14001-173-DNE390Y-100115.1.008</t>
  </si>
  <si>
    <t>Proporción de acciones en materia de inclusión social</t>
  </si>
  <si>
    <t>(Número de acciones en materia de prevención de inclusión social/ Número de acciones programadas en materia de inclusión social) *100</t>
  </si>
  <si>
    <t xml:space="preserve">JUSTIFICACIÓN 
El incumplimiento se debe a la contingencia del COVID-19, por cancelación de acciones.</t>
  </si>
  <si>
    <t>CLAVE: 114S--14001-173-DNE390Y-100115.1.005</t>
  </si>
  <si>
    <t>Proporción de acciones con el sector escolar en materia de prevención del delito.</t>
  </si>
  <si>
    <t>(Número de acciones en materia de prevención del delito realizadas en el sector escolar/ Número de acciones en materia de prevención del delito programadas con el sector escolar) *100</t>
  </si>
  <si>
    <t>CLAVE: 114S--14001-173-DNE390Y-100115.1.006</t>
  </si>
  <si>
    <t>Proporción de actividades deportivas para la prevención del delito realizadas.</t>
  </si>
  <si>
    <t>(Número de actividades deportivas para la prevención del delito realizados / Número de actividades deportivas para la prevención del delito programados) *100</t>
  </si>
  <si>
    <t>Proporción de acciones con la ciudadania e instituciones en materia de prevención social de la violencia y la delincuencia.</t>
  </si>
  <si>
    <t>(Número de acciones en materia de prevención del delito realizadas con la ciudadania y las instituciones/ Número de acciones en materia de prevención social de la violencia y la delincuencia programadas con la ciudadanía y las instituciones) *100</t>
  </si>
  <si>
    <t>Ing. Eleazar Guerrero Barrera</t>
  </si>
  <si>
    <t>Director de Vinculación Institucional</t>
  </si>
  <si>
    <t>CLAVE: 114S--14001-173-DNE390Y-100115.1.007</t>
  </si>
  <si>
    <t>Proporción de acciones en materia de prevención de la violencia contra las mujeres realizadas</t>
  </si>
  <si>
    <t>(Número de acciones en materia de prevención de la violencia contra las mujeres realizadas / Número de acciones programadas en materia de prevención de la violencia contra las mujeres) *100</t>
  </si>
  <si>
    <t>Proporción de acciones con el sector empresarial en materia de prevención del delito.</t>
  </si>
  <si>
    <t>(Número de acciones en materia de prevención del delito realizadas en el sector empresarial/ Número de acciones en materia de prevención del delito programadas con el sector empresarial)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</si>
</sst>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#,##0;[Red]#,##0"/>
    <numFmt numFmtId="166" formatCode="0.0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.5"/>
      <name val="CG Omega (W1)"/>
      <family val="2"/>
    </font>
    <font>
      <b/>
      <sz val="9"/>
      <name val="CG Omega (W1)"/>
      <family val="2"/>
    </font>
    <font>
      <b/>
      <sz val="6.5"/>
      <name val="CG Omega (W1)"/>
      <family val="2"/>
    </font>
    <font>
      <b/>
      <sz val="7"/>
      <name val="CG Omega (W1)"/>
      <family val="2"/>
    </font>
    <font>
      <b/>
      <sz val="8"/>
      <name val="CG Omega (W1)"/>
      <family val="2"/>
    </font>
    <font>
      <sz val="11"/>
      <name val="Arial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5" fillId="0" borderId="0"/>
    <xf numFmtId="0" fontId="2" fillId="0" borderId="0"/>
    <xf numFmtId="0" fontId="20" fillId="0" borderId="0"/>
    <xf numFmtId="0" fontId="1" fillId="0" borderId="0"/>
    <xf numFmtId="9" fontId="2" fillId="0" borderId="0"/>
    <xf numFmtId="9" fontId="5" fillId="0" borderId="0"/>
    <xf numFmtId="9" fontId="2" fillId="0" borderId="0"/>
    <xf numFmtId="9" fontId="20" fillId="0" borderId="0"/>
    <xf numFmtId="9" fontId="1" fillId="0" borderId="0"/>
    <xf numFmtId="9" fontId="19" fillId="0" borderId="0"/>
    <xf numFmtId="9" fontId="2" fillId="0" borderId="0"/>
    <xf numFmtId="9" fontId="21" fillId="0" borderId="0"/>
    <xf numFmtId="9" fontId="5" fillId="0" borderId="0"/>
    <xf numFmtId="9" fontId="2" fillId="0" borderId="0"/>
  </cellStyleXfs>
  <cellXfs count="153">
    <xf numFmtId="0" applyNumberFormat="1" fontId="0" applyFont="1" fillId="0" applyFill="1" borderId="0" applyBorder="1" xfId="0"/>
    <xf numFmtId="0" applyNumberFormat="1" fontId="5" applyFont="1" fillId="0" applyFill="1" borderId="0" applyBorder="1" xfId="1"/>
    <xf numFmtId="0" applyNumberFormat="1" fontId="2" applyFont="1" fillId="0" applyFill="1" borderId="0" applyBorder="1" xfId="2"/>
    <xf numFmtId="0" applyNumberFormat="1" fontId="20" applyFont="1" fillId="0" applyFill="1" borderId="0" applyBorder="1" xfId="3"/>
    <xf numFmtId="0" applyNumberFormat="1" fontId="1" applyFont="1" fillId="0" applyFill="1" borderId="0" applyBorder="1" xfId="4"/>
    <xf numFmtId="9" applyNumberFormat="1" fontId="2" applyFont="1" fillId="0" applyFill="1" borderId="0" applyBorder="1" xfId="5"/>
    <xf numFmtId="9" applyNumberFormat="1" fontId="5" applyFont="1" fillId="0" applyFill="1" borderId="0" applyBorder="1" xfId="6"/>
    <xf numFmtId="9" applyNumberFormat="1" fontId="2" applyFont="1" fillId="0" applyFill="1" borderId="0" applyBorder="1" xfId="7"/>
    <xf numFmtId="9" applyNumberFormat="1" fontId="20" applyFont="1" fillId="0" applyFill="1" borderId="0" applyBorder="1" xfId="8"/>
    <xf numFmtId="9" applyNumberFormat="1" fontId="1" applyFont="1" fillId="0" applyFill="1" borderId="0" applyBorder="1" xfId="9"/>
    <xf numFmtId="9" applyNumberFormat="1" fontId="19" applyFont="1" fillId="0" applyFill="1" borderId="0" applyBorder="1" xfId="10"/>
    <xf numFmtId="9" applyNumberFormat="1" fontId="2" applyFont="1" fillId="0" applyFill="1" borderId="0" applyBorder="1" xfId="11"/>
    <xf numFmtId="9" applyNumberFormat="1" fontId="21" applyFont="1" fillId="0" applyFill="1" borderId="0" applyBorder="1" xfId="12"/>
    <xf numFmtId="9" applyNumberFormat="1" fontId="5" applyFont="1" fillId="0" applyFill="1" borderId="0" applyBorder="1" xfId="13"/>
    <xf numFmtId="9" applyNumberFormat="1" fontId="2" applyFont="1" fillId="0" applyFill="1" borderId="0" applyBorder="1" xfId="14"/>
    <xf numFmtId="0" applyNumberFormat="1" fontId="7" applyFont="1" fillId="2" applyFill="1" borderId="1" applyBorder="1" xfId="0">
      <alignment horizontal="center" vertical="center"/>
    </xf>
    <xf numFmtId="0" applyNumberFormat="1" fontId="7" applyFont="1" fillId="2" applyFill="1" borderId="2" applyBorder="1" xfId="0">
      <alignment horizontal="center" vertical="center"/>
    </xf>
    <xf numFmtId="0" applyNumberFormat="1" fontId="11" applyFont="1" fillId="2" applyFill="1" borderId="3" applyBorder="1" xfId="0">
      <alignment horizontal="center" vertical="center"/>
    </xf>
    <xf numFmtId="0" applyNumberFormat="1" fontId="11" applyFont="1" fillId="2" applyFill="1" borderId="4" applyBorder="1" xfId="0">
      <alignment horizontal="center" vertical="center"/>
    </xf>
    <xf numFmtId="0" applyNumberFormat="1" fontId="9" applyFont="1" fillId="2" applyFill="1" borderId="5" applyBorder="1" xfId="0">
      <alignment horizontal="center" vertical="center"/>
    </xf>
    <xf numFmtId="0" applyNumberFormat="1" fontId="9" applyFont="1" fillId="2" applyFill="1" borderId="6" applyBorder="1" xfId="0">
      <alignment horizontal="center" vertical="center"/>
    </xf>
    <xf numFmtId="0" applyNumberFormat="1" fontId="9" applyFont="1" fillId="3" applyFill="1" borderId="7" applyBorder="1" xfId="0">
      <alignment horizontal="center" vertical="center"/>
    </xf>
    <xf numFmtId="0" applyNumberFormat="1" fontId="6" applyFont="1" fillId="0" applyFill="1" borderId="8" applyBorder="1" xfId="0">
      <alignment horizontal="left" vertical="center"/>
    </xf>
    <xf numFmtId="0" applyNumberFormat="1" fontId="6" applyFont="1" fillId="0" applyFill="1" borderId="8" applyBorder="1" xfId="0">
      <alignment horizontal="center" vertical="center"/>
    </xf>
    <xf numFmtId="165" applyNumberFormat="1" fontId="6" applyFont="1" fillId="0" applyFill="1" borderId="0" applyBorder="1" xfId="0">
      <alignment horizontal="right" vertical="center"/>
    </xf>
    <xf numFmtId="0" applyNumberFormat="1" fontId="15" applyFont="1" fillId="0" applyFill="1" borderId="0" applyBorder="1" xfId="0"/>
    <xf numFmtId="165" applyNumberFormat="1" fontId="0" applyFont="1" fillId="0" applyFill="1" borderId="0" applyBorder="1" xfId="0"/>
    <xf numFmtId="166" applyNumberFormat="1" fontId="0" applyFont="1" fillId="0" applyFill="1" borderId="0" applyBorder="1" xfId="0"/>
    <xf numFmtId="0" applyNumberFormat="1" fontId="17" applyFont="1" fillId="0" applyFill="1" borderId="0" applyBorder="1" xfId="0">
      <alignment horizontal="right"/>
    </xf>
    <xf numFmtId="164" applyNumberFormat="1" fontId="18" applyFont="1" fillId="0" applyFill="1" borderId="0" applyBorder="1" xfId="5"/>
    <xf numFmtId="0" applyNumberFormat="1" fontId="0" applyFont="1" fillId="0" applyFill="1" borderId="0" applyBorder="1" xfId="0">
      <alignment vertical="center"/>
    </xf>
    <xf numFmtId="165" applyNumberFormat="1" fontId="2" applyFont="1" fillId="0" applyFill="1" borderId="9" applyBorder="1" xfId="0">
      <alignment horizontal="center" vertical="top"/>
    </xf>
    <xf numFmtId="165" applyNumberFormat="1" fontId="2" applyFont="1" fillId="0" applyFill="1" borderId="10" applyBorder="1" xfId="0">
      <alignment horizontal="center" vertical="top"/>
    </xf>
    <xf numFmtId="165" applyNumberFormat="1" fontId="2" applyFont="1" fillId="0" applyFill="1" borderId="10" applyBorder="1" xfId="0">
      <alignment horizontal="center" vertical="top"/>
    </xf>
    <xf numFmtId="164" applyNumberFormat="1" fontId="2" applyFont="1" fillId="0" applyFill="1" borderId="11" applyBorder="1" xfId="5">
      <alignment horizontal="center" vertical="top"/>
    </xf>
    <xf numFmtId="164" applyNumberFormat="1" fontId="2" applyFont="1" fillId="0" applyFill="1" borderId="12" applyBorder="1" xfId="5">
      <alignment horizontal="center" vertical="top"/>
    </xf>
    <xf numFmtId="165" applyNumberFormat="1" fontId="2" applyFont="1" fillId="4" applyFill="1" borderId="12" applyBorder="1" xfId="0">
      <alignment horizontal="center" vertical="top"/>
    </xf>
    <xf numFmtId="165" applyNumberFormat="1" fontId="2" applyFont="1" fillId="4" applyFill="1" borderId="13" applyBorder="1" xfId="0">
      <alignment horizontal="center" vertical="top"/>
    </xf>
    <xf numFmtId="164" applyNumberFormat="1" fontId="2" applyFont="1" fillId="4" applyFill="1" borderId="6" applyBorder="1" xfId="5">
      <alignment horizontal="center" vertical="top"/>
    </xf>
    <xf numFmtId="164" applyNumberFormat="1" fontId="2" applyFont="1" fillId="4" applyFill="1" borderId="7" applyBorder="1" xfId="5">
      <alignment horizontal="center" vertical="top"/>
    </xf>
    <xf numFmtId="0" applyNumberFormat="1" fontId="2" applyFont="1" fillId="0" applyFill="1" borderId="0" applyBorder="1" xfId="0"/>
    <xf numFmtId="10" applyNumberFormat="1" fontId="2" applyFont="1" fillId="0" applyFill="1" borderId="0" applyBorder="1" xfId="0"/>
    <xf numFmtId="164" applyNumberFormat="1" fontId="2" applyFont="1" fillId="0" applyFill="1" borderId="0" applyBorder="1" xfId="0"/>
    <xf numFmtId="165" applyNumberFormat="1" fontId="2" applyFont="1" fillId="0" applyFill="1" borderId="0" applyBorder="1" xfId="0">
      <alignment horizontal="center" vertical="top"/>
    </xf>
    <xf numFmtId="165" applyNumberFormat="1" fontId="2" applyFont="1" fillId="7" applyFill="1" borderId="12" applyBorder="1" xfId="0">
      <alignment horizontal="center" vertical="top"/>
    </xf>
    <xf numFmtId="165" applyNumberFormat="1" fontId="2" applyFont="1" fillId="0" applyFill="1" borderId="0" applyBorder="1" xfId="0"/>
    <xf numFmtId="10" applyNumberFormat="1" fontId="2" applyFont="1" fillId="0" applyFill="1" borderId="0" applyBorder="1" xfId="0"/>
    <xf numFmtId="0" applyNumberFormat="1" fontId="2" applyFont="1" fillId="0" applyFill="1" borderId="0" applyBorder="1" xfId="0">
      <alignment horizontal="center" vertical="center"/>
    </xf>
    <xf numFmtId="10" applyNumberFormat="1" fontId="2" applyFont="1" fillId="0" applyFill="1" borderId="0" applyBorder="1" xfId="0">
      <alignment horizontal="center" vertical="center"/>
    </xf>
    <xf numFmtId="166" applyNumberFormat="1" fontId="2" applyFont="1" fillId="0" applyFill="1" borderId="0" applyBorder="1" xfId="0"/>
    <xf numFmtId="165" applyNumberFormat="1" fontId="2" applyFont="1" fillId="0" applyFill="1" borderId="12" applyBorder="1" xfId="0">
      <alignment horizontal="center" vertical="top"/>
    </xf>
    <xf numFmtId="165" applyNumberFormat="1" fontId="2" applyFont="1" fillId="0" applyFill="1" borderId="12" applyBorder="1" xfId="0">
      <alignment horizontal="center" vertical="top"/>
    </xf>
    <xf numFmtId="0" applyNumberFormat="1" fontId="2" applyFont="1" fillId="0" applyFill="1" borderId="0" applyBorder="1" xfId="0"/>
    <xf numFmtId="0" applyNumberFormat="1" fontId="2" applyFont="1" fillId="0" applyFill="1" borderId="0" applyBorder="1" xfId="0">
      <alignment horizontal="justify"/>
    </xf>
    <xf numFmtId="0" applyNumberFormat="1" fontId="16" applyFont="1" fillId="0" applyFill="1" borderId="0" applyBorder="1" xfId="0">
      <alignment horizontal="center"/>
    </xf>
    <xf numFmtId="0" applyNumberFormat="1" fontId="14" applyFont="1" fillId="0" applyFill="1" borderId="0" applyBorder="1" xfId="0">
      <alignment horizontal="center"/>
    </xf>
    <xf numFmtId="165" applyNumberFormat="1" fontId="2" applyFont="1" fillId="4" applyFill="1" borderId="12" applyBorder="1" xfId="0">
      <alignment horizontal="center" vertical="center"/>
    </xf>
    <xf numFmtId="3" applyNumberFormat="1" fontId="22" applyFont="1" fillId="0" applyFill="1" borderId="13" applyBorder="1" xfId="0">
      <alignment horizontal="center" vertical="center" wrapText="1"/>
    </xf>
    <xf numFmtId="0" applyNumberFormat="1" fontId="6" applyFont="1" fillId="0" applyFill="1" borderId="0" applyBorder="1" xfId="0">
      <alignment horizontal="left" vertical="center"/>
    </xf>
    <xf numFmtId="0" applyNumberFormat="1" fontId="6" applyFont="1" fillId="0" applyFill="1" borderId="0" applyBorder="1" xfId="0">
      <alignment horizontal="center" vertical="center"/>
    </xf>
    <xf numFmtId="164" applyNumberFormat="1" fontId="2" applyFont="1" fillId="4" applyFill="1" borderId="6" applyBorder="1" xfId="5">
      <alignment horizontal="center" vertical="center"/>
    </xf>
    <xf numFmtId="164" applyNumberFormat="1" fontId="2" applyFont="1" fillId="4" applyFill="1" borderId="7" applyBorder="1" xfId="5">
      <alignment horizontal="center" vertical="center"/>
    </xf>
    <xf numFmtId="165" applyNumberFormat="1" fontId="2" applyFont="1" fillId="4" applyFill="1" borderId="13" applyBorder="1" xfId="0">
      <alignment horizontal="center" vertical="center"/>
    </xf>
    <xf numFmtId="165" applyNumberFormat="1" fontId="2" applyFont="1" fillId="0" applyFill="1" borderId="10" applyBorder="1" xfId="0">
      <alignment horizontal="center" vertical="center"/>
    </xf>
    <xf numFmtId="165" applyNumberFormat="1" fontId="2" applyFont="1" fillId="0" applyFill="1" borderId="12" applyBorder="1" xfId="0">
      <alignment horizontal="center" vertical="center"/>
    </xf>
    <xf numFmtId="165" applyNumberFormat="1" fontId="2" applyFont="1" fillId="0" applyFill="1" borderId="12" applyBorder="1" xfId="0">
      <alignment horizontal="center" vertical="center"/>
    </xf>
    <xf numFmtId="165" applyNumberFormat="1" fontId="2" applyFont="1" fillId="0" applyFill="1" borderId="9" applyBorder="1" xfId="0">
      <alignment horizontal="center" vertical="center"/>
    </xf>
    <xf numFmtId="164" applyNumberFormat="1" fontId="2" applyFont="1" fillId="0" applyFill="1" borderId="12" applyBorder="1" xfId="5">
      <alignment horizontal="center" vertical="center"/>
    </xf>
    <xf numFmtId="164" applyNumberFormat="1" fontId="2" applyFont="1" fillId="0" applyFill="1" borderId="11" applyBorder="1" xfId="5">
      <alignment horizontal="center" vertical="center"/>
    </xf>
    <xf numFmtId="164" applyNumberFormat="1" fontId="2" applyFont="1" fillId="0" applyFill="1" borderId="12" applyBorder="1" xfId="5">
      <alignment horizontal="center" vertical="top"/>
    </xf>
    <xf numFmtId="164" applyNumberFormat="1" fontId="2" applyFont="1" fillId="0" applyFill="1" borderId="11" applyBorder="1" xfId="5">
      <alignment horizontal="center" vertical="top"/>
    </xf>
    <xf numFmtId="0" applyNumberFormat="1" fontId="14" applyFont="1" fillId="2" applyFill="1" borderId="34" applyBorder="1" xfId="0">
      <alignment horizontal="justify" vertical="center" wrapText="1"/>
    </xf>
    <xf numFmtId="0" applyNumberFormat="1" fontId="14" applyFont="1" fillId="2" applyFill="1" borderId="35" applyBorder="1" xfId="0">
      <alignment horizontal="justify" vertical="center"/>
    </xf>
    <xf numFmtId="0" applyNumberFormat="1" fontId="14" applyFont="1" fillId="2" applyFill="1" borderId="36" applyBorder="1" xfId="0">
      <alignment horizontal="justify" vertical="center"/>
    </xf>
    <xf numFmtId="0" applyNumberFormat="1" fontId="16" applyFont="1" fillId="0" applyFill="1" borderId="0" applyBorder="1" xfId="0">
      <alignment horizontal="center"/>
    </xf>
    <xf numFmtId="164" applyNumberFormat="1" fontId="4" applyFont="1" fillId="6" applyFill="1" borderId="47" applyBorder="1" xfId="5">
      <alignment horizontal="center" vertical="center"/>
    </xf>
    <xf numFmtId="164" applyNumberFormat="1" fontId="4" applyFont="1" fillId="6" applyFill="1" borderId="48" applyBorder="1" xfId="5">
      <alignment horizontal="center" vertical="center"/>
    </xf>
    <xf numFmtId="0" applyNumberFormat="1" fontId="14" applyFont="1" fillId="0" applyFill="1" borderId="0" applyBorder="1" xfId="0">
      <alignment horizontal="center"/>
    </xf>
    <xf numFmtId="0" applyNumberFormat="1" fontId="4" applyFont="1" fillId="0" applyFill="1" borderId="15" applyBorder="1" xfId="0">
      <alignment horizontal="center" vertical="center"/>
    </xf>
    <xf numFmtId="49" applyNumberFormat="1" fontId="16" applyFont="1" fillId="0" applyFill="1" borderId="0" applyBorder="1" xfId="0">
      <alignment horizontal="center"/>
    </xf>
    <xf numFmtId="0" applyNumberFormat="1" fontId="12" applyFont="1" fillId="0" applyFill="1" borderId="22" applyBorder="1" xfId="0">
      <alignment horizontal="justify" vertical="center" wrapText="1"/>
    </xf>
    <xf numFmtId="0" applyNumberFormat="1" fontId="12" applyFont="1" fillId="0" applyFill="1" borderId="2" applyBorder="1" xfId="0">
      <alignment horizontal="justify" vertical="center" wrapText="1"/>
    </xf>
    <xf numFmtId="0" applyNumberFormat="1" fontId="12" applyFont="1" fillId="0" applyFill="1" borderId="2" applyBorder="1" xfId="0"/>
    <xf numFmtId="0" applyNumberFormat="1" fontId="12" applyFont="1" fillId="0" applyFill="1" borderId="4" applyBorder="1" xfId="0"/>
    <xf numFmtId="0" applyNumberFormat="1" fontId="13" applyFont="1" fillId="5" applyFill="1" borderId="23" applyBorder="1" xfId="0">
      <alignment horizontal="center" vertical="center" wrapText="1"/>
    </xf>
    <xf numFmtId="0" applyNumberFormat="1" fontId="13" applyFont="1" fillId="5" applyFill="1" borderId="24" applyBorder="1" xfId="0">
      <alignment horizontal="center" vertical="center" wrapText="1"/>
    </xf>
    <xf numFmtId="0" applyNumberFormat="1" fontId="13" applyFont="1" fillId="5" applyFill="1" borderId="25" applyBorder="1" xfId="0">
      <alignment horizontal="center" vertical="center" wrapText="1"/>
    </xf>
    <xf numFmtId="0" applyNumberFormat="1" fontId="8" applyFont="1" fillId="2" applyFill="1" borderId="34" applyBorder="1" xfId="0">
      <alignment horizontal="center" vertical="center"/>
    </xf>
    <xf numFmtId="0" applyNumberFormat="1" fontId="8" applyFont="1" fillId="2" applyFill="1" borderId="35" applyBorder="1" xfId="0">
      <alignment horizontal="center" vertical="center"/>
    </xf>
    <xf numFmtId="0" applyNumberFormat="1" fontId="8" applyFont="1" fillId="2" applyFill="1" borderId="36" applyBorder="1" xfId="0">
      <alignment horizontal="center" vertical="center"/>
    </xf>
    <xf numFmtId="0" applyNumberFormat="1" fontId="10" applyFont="1" fillId="2" applyFill="1" borderId="37" applyBorder="1" xfId="0">
      <alignment horizontal="center" vertical="center"/>
    </xf>
    <xf numFmtId="0" applyNumberFormat="1" fontId="10" applyFont="1" fillId="2" applyFill="1" borderId="38" applyBorder="1" xfId="0">
      <alignment horizontal="center" vertical="center"/>
    </xf>
    <xf numFmtId="0" applyNumberFormat="1" fontId="10" applyFont="1" fillId="2" applyFill="1" borderId="39" applyBorder="1" xfId="0">
      <alignment horizontal="center" vertical="center"/>
    </xf>
    <xf numFmtId="0" applyNumberFormat="1" fontId="2" applyFont="1" fillId="0" applyFill="1" borderId="8" applyBorder="1" xfId="0">
      <alignment horizontal="center"/>
    </xf>
    <xf numFmtId="0" applyNumberFormat="1" fontId="7" applyFont="1" fillId="0" applyFill="1" borderId="40" applyBorder="1" xfId="0">
      <alignment horizontal="center" vertical="center"/>
    </xf>
    <xf numFmtId="0" applyNumberFormat="1" fontId="7" applyFont="1" fillId="0" applyFill="1" borderId="18" applyBorder="1" xfId="0">
      <alignment horizontal="center" vertical="center"/>
    </xf>
    <xf numFmtId="0" applyNumberFormat="1" fontId="7" applyFont="1" fillId="0" applyFill="1" borderId="41" applyBorder="1" xfId="0">
      <alignment horizontal="center" vertical="center"/>
    </xf>
    <xf numFmtId="0" applyNumberFormat="1" fontId="7" applyFont="1" fillId="4" applyFill="1" borderId="40" applyBorder="1" xfId="0">
      <alignment horizontal="center" vertical="center"/>
    </xf>
    <xf numFmtId="0" applyNumberFormat="1" fontId="7" applyFont="1" fillId="4" applyFill="1" borderId="18" applyBorder="1" xfId="0">
      <alignment horizontal="center" vertical="center"/>
    </xf>
    <xf numFmtId="0" applyNumberFormat="1" fontId="7" applyFont="1" fillId="4" applyFill="1" borderId="41" applyBorder="1" xfId="0">
      <alignment horizontal="center" vertical="center"/>
    </xf>
    <xf numFmtId="0" applyNumberFormat="1" fontId="9" applyFont="1" fillId="2" applyFill="1" borderId="26" applyBorder="1" xfId="0">
      <alignment horizontal="center" vertical="center" wrapText="1"/>
    </xf>
    <xf numFmtId="0" applyNumberFormat="1" fontId="9" applyFont="1" fillId="2" applyFill="1" borderId="27" applyBorder="1" xfId="0">
      <alignment horizontal="center" vertical="center" wrapText="1"/>
    </xf>
    <xf numFmtId="0" applyNumberFormat="1" fontId="9" applyFont="1" fillId="2" applyFill="1" borderId="28" applyBorder="1" xfId="0">
      <alignment horizontal="center" vertical="center" wrapText="1"/>
    </xf>
    <xf numFmtId="0" applyNumberFormat="1" fontId="7" applyFont="1" fillId="2" applyFill="1" borderId="9" applyBorder="1" xfId="0">
      <alignment horizontal="center" vertical="center"/>
    </xf>
    <xf numFmtId="0" applyNumberFormat="1" fontId="7" applyFont="1" fillId="2" applyFill="1" borderId="10" applyBorder="1" xfId="0">
      <alignment horizontal="center" vertical="center"/>
    </xf>
    <xf numFmtId="0" applyNumberFormat="1" fontId="7" applyFont="1" fillId="2" applyFill="1" borderId="32" applyBorder="1" xfId="0">
      <alignment horizontal="center" vertical="center"/>
    </xf>
    <xf numFmtId="0" applyNumberFormat="1" fontId="7" applyFont="1" fillId="2" applyFill="1" borderId="11" applyBorder="1" xfId="0">
      <alignment horizontal="center" vertical="center"/>
    </xf>
    <xf numFmtId="0" applyNumberFormat="1" fontId="7" applyFont="1" fillId="2" applyFill="1" borderId="12" applyBorder="1" xfId="0">
      <alignment horizontal="center" vertical="center"/>
    </xf>
    <xf numFmtId="0" applyNumberFormat="1" fontId="7" applyFont="1" fillId="2" applyFill="1" borderId="13" applyBorder="1" xfId="0">
      <alignment horizontal="center" vertical="center"/>
    </xf>
    <xf numFmtId="165" applyNumberFormat="1" fontId="2" applyFont="1" fillId="4" applyFill="1" borderId="33" applyBorder="1" xfId="0">
      <alignment horizontal="center" vertical="center"/>
    </xf>
    <xf numFmtId="165" applyNumberFormat="1" fontId="2" applyFont="1" fillId="4" applyFill="1" borderId="3" applyBorder="1" xfId="0">
      <alignment horizontal="center" vertical="center"/>
    </xf>
    <xf numFmtId="0" applyNumberFormat="1" fontId="3" applyFont="1" fillId="0" applyFill="1" borderId="8" applyBorder="1" xfId="0">
      <alignment horizontal="center"/>
    </xf>
    <xf numFmtId="0" applyNumberFormat="1" fontId="12" applyFont="1" fillId="0" applyFill="1" borderId="21" applyBorder="1" xfId="0">
      <alignment horizontal="justify" vertical="center" wrapText="1"/>
    </xf>
    <xf numFmtId="0" applyNumberFormat="1" fontId="12" applyFont="1" fillId="0" applyFill="1" borderId="1" applyBorder="1" xfId="0">
      <alignment horizontal="justify" vertical="center" wrapText="1"/>
    </xf>
    <xf numFmtId="0" applyNumberFormat="1" fontId="12" applyFont="1" fillId="0" applyFill="1" borderId="3" applyBorder="1" xfId="0">
      <alignment horizontal="justify" vertical="center" wrapText="1"/>
    </xf>
    <xf numFmtId="164" applyNumberFormat="1" fontId="4" applyFont="1" fillId="6" applyFill="1" borderId="14" applyBorder="1" xfId="5">
      <alignment horizontal="center" vertical="center"/>
    </xf>
    <xf numFmtId="164" applyNumberFormat="1" fontId="4" applyFont="1" fillId="6" applyFill="1" borderId="16" applyBorder="1" xfId="5">
      <alignment horizontal="center" vertical="center"/>
    </xf>
    <xf numFmtId="164" applyNumberFormat="1" fontId="4" applyFont="1" fillId="6" applyFill="1" borderId="30" applyBorder="1" xfId="5">
      <alignment horizontal="center" vertical="center"/>
    </xf>
    <xf numFmtId="164" applyNumberFormat="1" fontId="4" applyFont="1" fillId="6" applyFill="1" borderId="31" applyBorder="1" xfId="5">
      <alignment horizontal="center" vertical="center"/>
    </xf>
    <xf numFmtId="0" applyNumberFormat="1" fontId="4" applyFont="1" fillId="0" applyFill="1" borderId="0" applyBorder="1" xfId="0">
      <alignment horizontal="center" vertical="center"/>
    </xf>
    <xf numFmtId="0" applyNumberFormat="1" fontId="9" applyFont="1" fillId="2" applyFill="1" borderId="14" applyBorder="1" xfId="0">
      <alignment horizontal="center" vertical="center" wrapText="1"/>
    </xf>
    <xf numFmtId="0" applyNumberFormat="1" fontId="9" applyFont="1" fillId="2" applyFill="1" borderId="29" applyBorder="1" xfId="0">
      <alignment horizontal="center" vertical="center" wrapText="1"/>
    </xf>
    <xf numFmtId="0" applyNumberFormat="1" fontId="9" applyFont="1" fillId="2" applyFill="1" borderId="30" applyBorder="1" xfId="0">
      <alignment horizontal="center" vertical="center" wrapText="1"/>
    </xf>
    <xf numFmtId="0" applyNumberFormat="1" fontId="7" applyFont="1" fillId="0" applyFill="1" borderId="11" applyBorder="1" xfId="0">
      <alignment horizontal="center" vertical="center"/>
    </xf>
    <xf numFmtId="0" applyNumberFormat="1" fontId="7" applyFont="1" fillId="0" applyFill="1" borderId="12" applyBorder="1" xfId="0">
      <alignment horizontal="center" vertical="center"/>
    </xf>
    <xf numFmtId="0" applyNumberFormat="1" fontId="7" applyFont="1" fillId="0" applyFill="1" borderId="13" applyBorder="1" xfId="0">
      <alignment horizontal="center" vertical="center"/>
    </xf>
    <xf numFmtId="0" applyNumberFormat="1" fontId="7" applyFont="1" fillId="4" applyFill="1" borderId="11" applyBorder="1" xfId="0">
      <alignment horizontal="center" vertical="center"/>
    </xf>
    <xf numFmtId="0" applyNumberFormat="1" fontId="7" applyFont="1" fillId="4" applyFill="1" borderId="12" applyBorder="1" xfId="0">
      <alignment horizontal="center" vertical="center"/>
    </xf>
    <xf numFmtId="0" applyNumberFormat="1" fontId="7" applyFont="1" fillId="4" applyFill="1" borderId="13" applyBorder="1" xfId="0">
      <alignment horizontal="center" vertical="center"/>
    </xf>
    <xf numFmtId="0" applyNumberFormat="1" fontId="2" applyFont="1" fillId="0" applyFill="1" borderId="21" applyBorder="1" xfId="0">
      <alignment horizontal="justify" vertical="center" wrapText="1"/>
    </xf>
    <xf numFmtId="0" applyNumberFormat="1" fontId="2" applyFont="1" fillId="0" applyFill="1" borderId="1" applyBorder="1" xfId="0">
      <alignment horizontal="justify" vertical="center" wrapText="1"/>
    </xf>
    <xf numFmtId="0" applyNumberFormat="1" fontId="2" applyFont="1" fillId="0" applyFill="1" borderId="3" applyBorder="1" xfId="0">
      <alignment horizontal="justify" vertical="center" wrapText="1"/>
    </xf>
    <xf numFmtId="0" applyNumberFormat="1" fontId="14" applyFont="1" fillId="2" applyFill="1" borderId="45" applyBorder="1" xfId="0">
      <alignment horizontal="justify" vertical="center" wrapText="1"/>
    </xf>
    <xf numFmtId="0" applyNumberFormat="1" fontId="14" applyFont="1" fillId="2" applyFill="1" borderId="20" applyBorder="1" xfId="0">
      <alignment horizontal="justify" vertical="center" wrapText="1"/>
    </xf>
    <xf numFmtId="0" applyNumberFormat="1" fontId="14" applyFont="1" fillId="2" applyFill="1" borderId="46" applyBorder="1" xfId="0">
      <alignment horizontal="justify" vertical="center" wrapText="1"/>
    </xf>
    <xf numFmtId="0" applyNumberFormat="1" fontId="14" applyFont="1" fillId="2" applyFill="1" borderId="43" applyBorder="1" xfId="0">
      <alignment horizontal="left" vertical="center" wrapText="1"/>
    </xf>
    <xf numFmtId="0" applyNumberFormat="1" fontId="14" applyFont="1" fillId="2" applyFill="1" borderId="42" applyBorder="1" xfId="0">
      <alignment horizontal="left" vertical="center" wrapText="1"/>
    </xf>
    <xf numFmtId="0" applyNumberFormat="1" fontId="14" applyFont="1" fillId="2" applyFill="1" borderId="44" applyBorder="1" xfId="0">
      <alignment horizontal="left" vertical="center" wrapText="1"/>
    </xf>
    <xf numFmtId="0" applyNumberFormat="1" fontId="12" applyFont="1" fillId="0" applyFill="1" borderId="22" applyBorder="1" xfId="0">
      <alignment horizontal="left" vertical="center" wrapText="1"/>
    </xf>
    <xf numFmtId="0" applyNumberFormat="1" fontId="12" applyFont="1" fillId="0" applyFill="1" borderId="2" applyBorder="1" xfId="0">
      <alignment horizontal="left" vertical="center" wrapText="1"/>
    </xf>
    <xf numFmtId="0" applyNumberFormat="1" fontId="12" applyFont="1" fillId="0" applyFill="1" borderId="4" applyBorder="1" xfId="0">
      <alignment horizontal="left" vertical="center" wrapText="1"/>
    </xf>
    <xf numFmtId="0" applyNumberFormat="1" fontId="13" applyFont="1" fillId="5" applyFill="1" borderId="37" applyBorder="1" xfId="0">
      <alignment horizontal="center" vertical="center" wrapText="1"/>
    </xf>
    <xf numFmtId="0" applyNumberFormat="1" fontId="13" applyFont="1" fillId="5" applyFill="1" borderId="38" applyBorder="1" xfId="0">
      <alignment horizontal="center" vertical="center" wrapText="1"/>
    </xf>
    <xf numFmtId="0" applyNumberFormat="1" fontId="13" applyFont="1" fillId="5" applyFill="1" borderId="39" applyBorder="1" xfId="0">
      <alignment horizontal="center" vertical="center" wrapText="1"/>
    </xf>
    <xf numFmtId="0" applyNumberFormat="1" fontId="2" applyFont="1" fillId="0" applyFill="1" borderId="0" applyBorder="1" xfId="0">
      <alignment horizontal="center"/>
    </xf>
    <xf numFmtId="0" applyNumberFormat="1" fontId="12" applyFont="1" fillId="0" applyFill="1" borderId="4" applyBorder="1" xfId="0">
      <alignment horizontal="justify" vertical="center" wrapText="1"/>
    </xf>
    <xf numFmtId="0" applyNumberFormat="1" fontId="14" applyFont="1" fillId="2" applyFill="1" borderId="19" applyBorder="1" xfId="0">
      <alignment horizontal="left" vertical="center" wrapText="1"/>
    </xf>
    <xf numFmtId="0" applyNumberFormat="1" fontId="14" applyFont="1" fillId="2" applyFill="1" borderId="18" applyBorder="1" xfId="0">
      <alignment horizontal="left" vertical="center" wrapText="1"/>
    </xf>
    <xf numFmtId="0" applyNumberFormat="1" fontId="14" applyFont="1" fillId="2" applyFill="1" borderId="17" applyBorder="1" xfId="0">
      <alignment horizontal="left" vertical="center" wrapText="1"/>
    </xf>
    <xf numFmtId="0" applyNumberFormat="1" fontId="2" applyFont="1" fillId="0" applyFill="1" borderId="0" applyBorder="1" xfId="0">
      <alignment horizontal="center" vertical="center"/>
    </xf>
    <xf numFmtId="0" applyNumberFormat="1" fontId="2" applyFont="1" fillId="0" applyFill="1" borderId="20" applyBorder="1" xfId="0">
      <alignment horizontal="center" vertical="center"/>
    </xf>
    <xf numFmtId="0" applyNumberFormat="1" fontId="2" applyFont="1" fillId="0" applyFill="1" borderId="42" applyBorder="1" xfId="0">
      <alignment horizontal="center"/>
    </xf>
    <xf numFmtId="0" applyNumberFormat="1" fontId="12" applyFont="1" fillId="0" applyFill="1" borderId="12" applyBorder="1" xfId="0">
      <alignment horizontal="justify" vertical="center" wrapText="1"/>
    </xf>
  </cellXfs>
  <cellStyles count="15">
    <cellStyle name="Normal" xfId="0" builtinId="0"/>
    <cellStyle name="Normal 2" xfId="1"/>
    <cellStyle name="Normal 2 2" xfId="2"/>
    <cellStyle name="Normal 3" xfId="3"/>
    <cellStyle name="Normal 3 2" xfId="4"/>
    <cellStyle name="Porcentaje" xfId="5" builtinId="5"/>
    <cellStyle name="Porcentaje 2" xfId="6"/>
    <cellStyle name="Porcentaje 2 2" xfId="7"/>
    <cellStyle name="Porcentaje 3" xfId="8"/>
    <cellStyle name="Porcentaje 3 2" xfId="9"/>
    <cellStyle name="Porcentaje 4" xfId="10"/>
    <cellStyle name="Porcentaje 4 2" xfId="11"/>
    <cellStyle name="Porcentaje 5" xfId="12"/>
    <cellStyle name="Porcentual 2" xfId="13"/>
    <cellStyle name="Porcentual 2 2" xfId="14"/>
  </cellStyles>
  <dxfs count="0"/>
  <tableStyles count="0" defaultTableStyle="TableStyleMedium9" defaultPivotStyle="PivotStyleLight16"/>
  <colors>
    <mruColors>
      <color rgb="FF99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30"/>
  <sheetViews>
    <sheetView zoomScale="90" zoomScaleNormal="90" workbookViewId="0">
      <selection activeCell="E9" sqref="E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4.5703125" customWidth="1"/>
    <col min="5" max="5" width="10.5703125" customWidth="1"/>
    <col min="6" max="6" width="9.28515625" customWidth="1"/>
    <col min="7" max="7" width="10" customWidth="1"/>
    <col min="8" max="13" width="9.28515625" customWidth="1"/>
    <col min="14" max="14" width="10" customWidth="1"/>
    <col min="15" max="15" width="9.28515625" customWidth="1"/>
    <col min="16" max="16" width="11" customWidth="1"/>
    <col min="17" max="17" width="9.28515625" customWidth="1"/>
    <col min="18" max="18" width="12.28515625" customWidth="1"/>
    <col min="19" max="256" width="11.42578125" customWidth="1"/>
  </cols>
  <sheetData>
    <row r="2" ht="18.75" customHeight="1">
      <c r="B2" s="111" t="s">
        <v>0</v>
      </c>
      <c r="C2" s="111"/>
      <c r="D2" s="111"/>
      <c r="E2" s="111"/>
      <c r="N2" s="93" t="s">
        <v>45</v>
      </c>
      <c r="O2" s="93"/>
      <c r="P2" s="93"/>
      <c r="Q2" s="93"/>
      <c r="R2" s="93"/>
    </row>
    <row r="3" ht="13.5" customHeight="1">
      <c r="B3" s="87" t="s">
        <v>2</v>
      </c>
      <c r="C3" s="88"/>
      <c r="D3" s="89"/>
      <c r="E3" s="100" t="s">
        <v>3</v>
      </c>
      <c r="F3" s="103" t="s">
        <v>4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>
      <c r="B4" s="15" t="s">
        <v>5</v>
      </c>
      <c r="C4" s="16" t="s">
        <v>6</v>
      </c>
      <c r="D4" s="90" t="s">
        <v>7</v>
      </c>
      <c r="E4" s="101"/>
      <c r="F4" s="106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>
      <c r="B5" s="15" t="s">
        <v>8</v>
      </c>
      <c r="C5" s="16" t="s">
        <v>9</v>
      </c>
      <c r="D5" s="91"/>
      <c r="E5" s="101"/>
      <c r="F5" s="94" t="s">
        <v>10</v>
      </c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6"/>
    </row>
    <row r="6">
      <c r="B6" s="15" t="s">
        <v>11</v>
      </c>
      <c r="C6" s="16" t="s">
        <v>12</v>
      </c>
      <c r="D6" s="91"/>
      <c r="E6" s="101"/>
      <c r="F6" s="97" t="s">
        <v>13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9"/>
    </row>
    <row r="7">
      <c r="B7" s="17"/>
      <c r="C7" s="18"/>
      <c r="D7" s="92"/>
      <c r="E7" s="102"/>
      <c r="F7" s="19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20</v>
      </c>
      <c r="M7" s="20" t="s">
        <v>21</v>
      </c>
      <c r="N7" s="20" t="s">
        <v>22</v>
      </c>
      <c r="O7" s="20" t="s">
        <v>23</v>
      </c>
      <c r="P7" s="20" t="s">
        <v>24</v>
      </c>
      <c r="Q7" s="20" t="s">
        <v>25</v>
      </c>
      <c r="R7" s="21" t="s">
        <v>26</v>
      </c>
    </row>
    <row r="8">
      <c r="B8" s="22"/>
      <c r="C8" s="23"/>
      <c r="D8" s="23"/>
      <c r="E8" s="24"/>
      <c r="F8" s="24"/>
      <c r="G8" s="24"/>
      <c r="H8" s="24"/>
      <c r="I8" s="24"/>
      <c r="J8" s="24"/>
      <c r="K8" s="24"/>
      <c r="L8" s="24"/>
    </row>
    <row r="9" ht="18.75" customHeight="1">
      <c r="B9" s="112" t="s">
        <v>46</v>
      </c>
      <c r="C9" s="80" t="s">
        <v>47</v>
      </c>
      <c r="D9" s="84" t="s">
        <v>29</v>
      </c>
      <c r="E9" s="57">
        <v>185110</v>
      </c>
      <c r="F9" s="32">
        <v>141182</v>
      </c>
      <c r="G9" s="32">
        <v>26749</v>
      </c>
      <c r="H9" s="32">
        <v>22661</v>
      </c>
      <c r="I9" s="32">
        <v>14147</v>
      </c>
      <c r="J9" s="32">
        <v>13542</v>
      </c>
      <c r="K9" s="32">
        <v>14905</v>
      </c>
      <c r="L9" s="32">
        <v>3435</v>
      </c>
      <c r="M9" s="33">
        <v>5753</v>
      </c>
      <c r="N9" s="33">
        <v>20675</v>
      </c>
      <c r="O9" s="33">
        <v>20648</v>
      </c>
      <c r="P9" s="33">
        <v>18949</v>
      </c>
      <c r="Q9" s="33">
        <v>9463</v>
      </c>
      <c r="R9" s="57">
        <v>185110</v>
      </c>
    </row>
    <row r="10" ht="18.75" customHeight="1">
      <c r="B10" s="113"/>
      <c r="C10" s="81"/>
      <c r="D10" s="85"/>
      <c r="E10" s="34">
        <v>1</v>
      </c>
      <c r="F10" s="35">
        <f>SUM(F9/E9)</f>
        <v>0.76269245313597323</v>
      </c>
      <c r="G10" s="35">
        <f>SUM(G9/E9)</f>
        <v>0.14450326832694074</v>
      </c>
      <c r="H10" s="35">
        <f>SUM(H9/E9)</f>
        <v>0.12241910215547512</v>
      </c>
      <c r="I10" s="35">
        <f>SUM(I9/E9)</f>
        <v>0.076424828480363027</v>
      </c>
      <c r="J10" s="35">
        <f>SUM(J9/E9)</f>
        <v>0.0731565015396251</v>
      </c>
      <c r="K10" s="35">
        <f>SUM(K9/E9)</f>
        <v>0.080519690994543786</v>
      </c>
      <c r="L10" s="35">
        <f>SUM(L9/E9)</f>
        <v>0.01855653395278483</v>
      </c>
      <c r="M10" s="35">
        <f>SUM(M9/E9)</f>
        <v>0.031078818000108043</v>
      </c>
      <c r="N10" s="35">
        <f>SUM(N9/E9)</f>
        <v>0.11169034628058992</v>
      </c>
      <c r="O10" s="35">
        <f>SUM(O9/E9)</f>
        <v>0.11154448706174706</v>
      </c>
      <c r="P10" s="35">
        <f>SUM(P9/E9)</f>
        <v>0.10236616066122846</v>
      </c>
      <c r="Q10" s="35">
        <f>SUM(Q9/E9)</f>
        <v>0.051120955107773758</v>
      </c>
      <c r="R10" s="34">
        <f>SUM(F10:Q10)</f>
        <v>1.6860731456971532</v>
      </c>
    </row>
    <row r="11" ht="18.75" customHeight="1">
      <c r="B11" s="113"/>
      <c r="C11" s="82"/>
      <c r="D11" s="85"/>
      <c r="E11" s="109" t="s">
        <v>30</v>
      </c>
      <c r="F11" s="36">
        <v>3259</v>
      </c>
      <c r="G11" s="36">
        <v>8657</v>
      </c>
      <c r="H11" s="36">
        <v>9220</v>
      </c>
      <c r="I11" s="36">
        <v>6602</v>
      </c>
      <c r="J11" s="36">
        <v>4575</v>
      </c>
      <c r="K11" s="36">
        <v>3875</v>
      </c>
      <c r="L11" s="36">
        <v>4875</v>
      </c>
      <c r="M11" s="36">
        <v>978</v>
      </c>
      <c r="N11" s="36">
        <v>12264</v>
      </c>
      <c r="O11" s="36">
        <v>10606</v>
      </c>
      <c r="P11" s="36">
        <v>11887</v>
      </c>
      <c r="Q11" s="36">
        <v>3881</v>
      </c>
      <c r="R11" s="37">
        <v>80679</v>
      </c>
      <c r="S11" s="26"/>
    </row>
    <row r="12" ht="34.5" customHeight="1">
      <c r="B12" s="114"/>
      <c r="C12" s="83"/>
      <c r="D12" s="86"/>
      <c r="E12" s="110"/>
      <c r="F12" s="38">
        <f>+F11/E9</f>
        <v>0.13696180649343634</v>
      </c>
      <c r="G12" s="38">
        <f>+G11/E9</f>
        <v>0.1857922316460483</v>
      </c>
      <c r="H12" s="38">
        <f>+H11/E9</f>
        <v>0.12145210955647993</v>
      </c>
      <c r="I12" s="38" t="e">
        <f>+I11/E9</f>
        <v>#VALUE!</v>
      </c>
      <c r="J12" s="38">
        <f>+J11/E9</f>
        <v>0.00082113338015234183</v>
      </c>
      <c r="K12" s="38">
        <f>+K11/E9</f>
        <v>0.00225811679541894</v>
      </c>
      <c r="L12" s="38">
        <f>+L11/E9</f>
        <v>0.00078872022040948626</v>
      </c>
      <c r="M12" s="38">
        <f>+M11/E9</f>
        <v>0.0017719193992761062</v>
      </c>
      <c r="N12" s="38">
        <f>+N11/E9</f>
        <v>0.018605153692399113</v>
      </c>
      <c r="O12" s="38">
        <f>+O11/E9</f>
        <v>0.031440764950569931</v>
      </c>
      <c r="P12" s="38">
        <f>+P11/E9</f>
        <v>0.055928907136297334</v>
      </c>
      <c r="Q12" s="38">
        <f>+Q11/E9</f>
        <v>0.010982658959537572</v>
      </c>
      <c r="R12" s="39" t="e">
        <f>SUM(F12:Q12)</f>
        <v>#VALUE!</v>
      </c>
    </row>
    <row r="13" ht="12.75" customHeight="1">
      <c r="N13" s="78" t="s">
        <v>31</v>
      </c>
      <c r="O13" s="78"/>
      <c r="P13" s="78"/>
      <c r="Q13" s="75">
        <f>SUM(R11/E9)</f>
        <v>0.56680352223002539</v>
      </c>
      <c r="R13" s="76"/>
    </row>
    <row r="14">
      <c r="D14" s="25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ht="6" customHeight="1">
      <c r="F15" s="77"/>
      <c r="G15" s="77"/>
      <c r="H15" s="77"/>
      <c r="I15" s="77"/>
      <c r="J15" s="77"/>
      <c r="K15" s="40"/>
      <c r="L15" s="40"/>
      <c r="M15" s="77"/>
      <c r="N15" s="77"/>
      <c r="O15" s="77"/>
      <c r="P15" s="77"/>
      <c r="Q15" s="77"/>
      <c r="R15" s="26"/>
    </row>
    <row r="16" hidden="1" ht="15">
      <c r="F16" s="74"/>
      <c r="G16" s="74"/>
      <c r="H16" s="74"/>
      <c r="I16" s="74"/>
      <c r="J16" s="74"/>
      <c r="K16" s="40"/>
      <c r="L16" s="40"/>
      <c r="M16" s="79"/>
      <c r="N16" s="79"/>
      <c r="O16" s="79"/>
      <c r="P16" s="79"/>
      <c r="Q16" s="79"/>
    </row>
    <row r="17" ht="55.5" customHeight="1">
      <c r="B17" s="71" t="s">
        <v>44</v>
      </c>
      <c r="C17" s="72"/>
      <c r="D17" s="72"/>
      <c r="E17" s="73"/>
      <c r="F17" s="40"/>
      <c r="G17" s="41"/>
      <c r="H17" s="40"/>
      <c r="I17" s="40"/>
      <c r="J17" s="40"/>
      <c r="K17" s="40"/>
      <c r="L17" s="40"/>
      <c r="M17" s="40"/>
      <c r="N17" s="40"/>
      <c r="O17" s="40"/>
      <c r="P17" s="40"/>
      <c r="Q17" s="40"/>
    </row>
    <row r="18"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2"/>
    </row>
    <row r="19"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</row>
    <row r="20"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1">
      <c r="C21" s="0" t="s">
        <v>33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</row>
    <row r="24"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</row>
    <row r="25" ht="15">
      <c r="B25" s="0" t="s">
        <v>48</v>
      </c>
      <c r="F25" s="74"/>
      <c r="G25" s="74"/>
      <c r="H25" s="74"/>
      <c r="I25" s="74"/>
      <c r="J25" s="74"/>
      <c r="K25" s="40"/>
      <c r="L25" s="40"/>
      <c r="M25" s="40"/>
      <c r="N25" s="40"/>
      <c r="O25" s="40"/>
      <c r="P25" s="40"/>
      <c r="Q25" s="40"/>
    </row>
    <row r="26" ht="20.25">
      <c r="C26" s="0" t="s">
        <v>33</v>
      </c>
      <c r="F26" s="40"/>
      <c r="G26" s="28"/>
      <c r="H26" s="29"/>
      <c r="I26" s="40"/>
      <c r="J26" s="40"/>
      <c r="K26" s="40"/>
      <c r="L26" s="40"/>
      <c r="M26" s="40"/>
      <c r="N26" s="40"/>
      <c r="O26" s="40"/>
      <c r="P26" s="40"/>
      <c r="Q26" s="40"/>
    </row>
    <row r="27">
      <c r="C27" s="0" t="s">
        <v>33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  <row r="30"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</sheetData>
  <mergeCells>
    <mergeCell ref="C9:C12"/>
    <mergeCell ref="D9:D12"/>
    <mergeCell ref="B3:D3"/>
    <mergeCell ref="D4:D7"/>
    <mergeCell ref="N2:R2"/>
    <mergeCell ref="F5:R5"/>
    <mergeCell ref="F6:R6"/>
    <mergeCell ref="E3:E7"/>
    <mergeCell ref="F3:R4"/>
    <mergeCell ref="E11:E12"/>
    <mergeCell ref="B2:E2"/>
    <mergeCell ref="B9:B12"/>
    <mergeCell ref="B17:E17"/>
    <mergeCell ref="F25:J25"/>
    <mergeCell ref="Q13:R13"/>
    <mergeCell ref="F15:J15"/>
    <mergeCell ref="M15:Q15"/>
    <mergeCell ref="N13:P13"/>
    <mergeCell ref="F16:J16"/>
    <mergeCell ref="M16:Q16"/>
  </mergeCells>
  <pageMargins left="0.25" right="0.25" top="0.75" bottom="0.75" header="0.3" footer="0.3"/>
  <pageSetup scale="64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35"/>
  <sheetViews>
    <sheetView zoomScale="90" zoomScaleNormal="90" workbookViewId="0">
      <selection activeCell="G9" sqref="G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4.5703125" customWidth="1"/>
    <col min="5" max="5" width="22.85546875" customWidth="1"/>
    <col min="6" max="13" width="9.28515625" customWidth="1"/>
    <col min="14" max="14" width="10" customWidth="1"/>
    <col min="15" max="15" width="9.28515625" customWidth="1"/>
    <col min="16" max="16" width="11" customWidth="1"/>
    <col min="17" max="17" width="9.28515625" customWidth="1"/>
    <col min="18" max="18" width="9.42578125" customWidth="1"/>
    <col min="19" max="256" width="11.42578125" customWidth="1"/>
  </cols>
  <sheetData>
    <row r="2" ht="18.75" customHeight="1">
      <c r="B2" s="111" t="s">
        <v>0</v>
      </c>
      <c r="C2" s="111"/>
      <c r="D2" s="111"/>
      <c r="E2" s="111"/>
      <c r="N2" s="93" t="s">
        <v>40</v>
      </c>
      <c r="O2" s="93"/>
      <c r="P2" s="93"/>
      <c r="Q2" s="93"/>
      <c r="R2" s="93"/>
    </row>
    <row r="3">
      <c r="B3" s="87" t="s">
        <v>2</v>
      </c>
      <c r="C3" s="88"/>
      <c r="D3" s="89"/>
      <c r="E3" s="120" t="s">
        <v>3</v>
      </c>
      <c r="F3" s="103" t="s">
        <v>4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>
      <c r="B4" s="15" t="s">
        <v>5</v>
      </c>
      <c r="C4" s="16" t="s">
        <v>6</v>
      </c>
      <c r="D4" s="90" t="s">
        <v>7</v>
      </c>
      <c r="E4" s="121"/>
      <c r="F4" s="106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>
      <c r="B5" s="15" t="s">
        <v>8</v>
      </c>
      <c r="C5" s="16" t="s">
        <v>9</v>
      </c>
      <c r="D5" s="91"/>
      <c r="E5" s="121"/>
      <c r="F5" s="123" t="s">
        <v>10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5"/>
    </row>
    <row r="6">
      <c r="B6" s="15" t="s">
        <v>11</v>
      </c>
      <c r="C6" s="16" t="s">
        <v>12</v>
      </c>
      <c r="D6" s="91"/>
      <c r="E6" s="121"/>
      <c r="F6" s="126" t="s">
        <v>13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8"/>
    </row>
    <row r="7">
      <c r="B7" s="17"/>
      <c r="C7" s="18"/>
      <c r="D7" s="92"/>
      <c r="E7" s="122"/>
      <c r="F7" s="19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20</v>
      </c>
      <c r="M7" s="20" t="s">
        <v>21</v>
      </c>
      <c r="N7" s="20" t="s">
        <v>22</v>
      </c>
      <c r="O7" s="20" t="s">
        <v>23</v>
      </c>
      <c r="P7" s="20" t="s">
        <v>24</v>
      </c>
      <c r="Q7" s="20" t="s">
        <v>25</v>
      </c>
      <c r="R7" s="21" t="s">
        <v>26</v>
      </c>
    </row>
    <row r="8">
      <c r="B8" s="22"/>
      <c r="C8" s="23"/>
      <c r="D8" s="23"/>
      <c r="E8" s="24"/>
      <c r="F8" s="24"/>
      <c r="G8" s="24"/>
      <c r="H8" s="24"/>
      <c r="I8" s="24"/>
      <c r="J8" s="24"/>
      <c r="K8" s="24"/>
      <c r="L8" s="24"/>
    </row>
    <row r="9" ht="18.75" customHeight="1">
      <c r="B9" s="112" t="s">
        <v>41</v>
      </c>
      <c r="C9" s="80" t="s">
        <v>42</v>
      </c>
      <c r="D9" s="84" t="s">
        <v>43</v>
      </c>
      <c r="E9" s="31">
        <v>9</v>
      </c>
      <c r="F9" s="32">
        <v>0</v>
      </c>
      <c r="G9" s="32">
        <v>2</v>
      </c>
      <c r="H9" s="32">
        <v>0</v>
      </c>
      <c r="I9" s="32">
        <v>0</v>
      </c>
      <c r="J9" s="32">
        <v>0</v>
      </c>
      <c r="K9" s="32">
        <v>1</v>
      </c>
      <c r="L9" s="32">
        <v>0</v>
      </c>
      <c r="M9" s="33">
        <v>2</v>
      </c>
      <c r="N9" s="33">
        <v>0</v>
      </c>
      <c r="O9" s="33">
        <v>2</v>
      </c>
      <c r="P9" s="33">
        <v>0</v>
      </c>
      <c r="Q9" s="33">
        <v>2</v>
      </c>
      <c r="R9" s="31">
        <v>9</v>
      </c>
      <c r="T9" s="43"/>
    </row>
    <row r="10" ht="18.75" customHeight="1">
      <c r="B10" s="113"/>
      <c r="C10" s="81"/>
      <c r="D10" s="85"/>
      <c r="E10" s="70">
        <v>1</v>
      </c>
      <c r="F10" s="35">
        <v>0</v>
      </c>
      <c r="G10" s="35">
        <v>0.16</v>
      </c>
      <c r="H10" s="35">
        <v>0</v>
      </c>
      <c r="I10" s="69">
        <f>SUM(I9/E9)</f>
        <v>0</v>
      </c>
      <c r="J10" s="35">
        <v>0</v>
      </c>
      <c r="K10" s="69">
        <v>0.167</v>
      </c>
      <c r="L10" s="35">
        <v>0</v>
      </c>
      <c r="M10" s="69">
        <v>0.167</v>
      </c>
      <c r="N10" s="35">
        <v>0</v>
      </c>
      <c r="O10" s="69">
        <v>0.167</v>
      </c>
      <c r="P10" s="35">
        <v>0</v>
      </c>
      <c r="Q10" s="35">
        <f>SUM(Q9/E9)</f>
        <v>0.22222222222222221</v>
      </c>
      <c r="R10" s="70">
        <v>1</v>
      </c>
    </row>
    <row r="11" ht="18.75" customHeight="1">
      <c r="B11" s="113"/>
      <c r="C11" s="82"/>
      <c r="D11" s="85"/>
      <c r="E11" s="109" t="s">
        <v>30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44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7">
        <f>SUM(F11:Q11)</f>
        <v>16</v>
      </c>
      <c r="S11" s="26"/>
    </row>
    <row r="12" ht="33" customHeight="1">
      <c r="B12" s="114"/>
      <c r="C12" s="83"/>
      <c r="D12" s="86"/>
      <c r="E12" s="110"/>
      <c r="F12" s="38">
        <f>+F11/E9</f>
        <v>0.44444444444444442</v>
      </c>
      <c r="G12" s="38">
        <f>+G11/E9</f>
        <v>0.66666666666666663</v>
      </c>
      <c r="H12" s="38">
        <f>+H11/E9</f>
        <v>0.66666666666666663</v>
      </c>
      <c r="I12" s="38">
        <f>+I11/E9</f>
        <v>0</v>
      </c>
      <c r="J12" s="38">
        <f>+J11/E9</f>
        <v>0</v>
      </c>
      <c r="K12" s="38">
        <f>+K11/E9</f>
        <v>0</v>
      </c>
      <c r="L12" s="38">
        <f>+L11/E9</f>
        <v>0</v>
      </c>
      <c r="M12" s="38">
        <f>+M11/E9</f>
        <v>0</v>
      </c>
      <c r="N12" s="38">
        <f>+N11/E9</f>
        <v>0</v>
      </c>
      <c r="O12" s="38">
        <f>+O11/E9</f>
        <v>0</v>
      </c>
      <c r="P12" s="38">
        <f>+P11/E9</f>
        <v>0</v>
      </c>
      <c r="Q12" s="38">
        <f>+Q11/E9</f>
        <v>0</v>
      </c>
      <c r="R12" s="39">
        <f>SUM(F12:Q12)</f>
        <v>1.7777777777777777</v>
      </c>
    </row>
    <row r="13" ht="12.75" customHeight="1">
      <c r="N13" s="78" t="s">
        <v>31</v>
      </c>
      <c r="O13" s="78"/>
      <c r="P13" s="78"/>
      <c r="Q13" s="115">
        <f>+R11/E9</f>
        <v>1.7777777777777777</v>
      </c>
      <c r="R13" s="116">
        <f>SUM(F13:Q13)</f>
        <v>1.7777777777777777</v>
      </c>
    </row>
    <row r="14" ht="13.5" customHeight="1">
      <c r="D14" s="25"/>
      <c r="F14" s="40"/>
      <c r="J14" s="40"/>
      <c r="K14" s="40"/>
      <c r="L14" s="40"/>
      <c r="M14" s="40"/>
      <c r="N14" s="119"/>
      <c r="O14" s="119"/>
      <c r="P14" s="119"/>
      <c r="Q14" s="117">
        <f>SUM(G14:P14)</f>
        <v>0</v>
      </c>
      <c r="R14" s="118">
        <f>SUM(G14:Q14)</f>
        <v>0</v>
      </c>
    </row>
    <row r="15" ht="9" customHeight="1">
      <c r="F15" s="55"/>
      <c r="G15" s="40"/>
      <c r="H15" s="40"/>
      <c r="I15" s="40"/>
      <c r="J15" s="40"/>
      <c r="K15" s="45"/>
      <c r="L15" s="41"/>
      <c r="M15" s="40"/>
      <c r="N15" s="40"/>
      <c r="O15" s="40"/>
      <c r="P15" s="40"/>
      <c r="Q15" s="40"/>
    </row>
    <row r="16" hidden="1" ht="11.25" customHeight="1">
      <c r="F16" s="54"/>
      <c r="G16" s="46"/>
      <c r="H16" s="40"/>
      <c r="I16" s="40"/>
      <c r="J16" s="40"/>
      <c r="K16" s="47"/>
      <c r="L16" s="48"/>
      <c r="M16" s="40"/>
      <c r="N16" s="40"/>
      <c r="O16" s="40"/>
      <c r="P16" s="40"/>
      <c r="Q16" s="40"/>
      <c r="U16" s="27"/>
    </row>
    <row r="17" ht="48" customHeight="1">
      <c r="B17" s="71" t="s">
        <v>44</v>
      </c>
      <c r="C17" s="72"/>
      <c r="D17" s="72"/>
      <c r="E17" s="73"/>
      <c r="F17" s="40"/>
      <c r="G17" s="40"/>
      <c r="H17" s="40"/>
      <c r="I17" s="40"/>
      <c r="J17" s="40"/>
      <c r="K17" s="45"/>
      <c r="L17" s="45"/>
      <c r="M17" s="45"/>
      <c r="N17" s="41"/>
      <c r="O17" s="40"/>
      <c r="P17" s="40"/>
      <c r="Q17" s="40"/>
    </row>
    <row r="18" ht="15">
      <c r="F18" s="40"/>
      <c r="G18" s="54"/>
      <c r="H18" s="54"/>
      <c r="I18" s="54"/>
      <c r="J18" s="54"/>
      <c r="K18" s="40"/>
      <c r="L18" s="40"/>
      <c r="M18" s="79"/>
      <c r="N18" s="79"/>
      <c r="O18" s="79"/>
      <c r="P18" s="79"/>
      <c r="Q18" s="79"/>
    </row>
    <row r="19">
      <c r="F19" s="40"/>
      <c r="G19" s="41"/>
      <c r="H19" s="40"/>
      <c r="I19" s="40"/>
      <c r="J19" s="40"/>
      <c r="K19" s="40"/>
      <c r="L19" s="40"/>
      <c r="M19" s="40"/>
      <c r="N19" s="40"/>
      <c r="O19" s="40"/>
      <c r="P19" s="40"/>
      <c r="Q19" s="40"/>
    </row>
    <row r="20">
      <c r="F20" s="40"/>
      <c r="G20" s="40"/>
      <c r="H20" s="40"/>
      <c r="I20" s="40"/>
      <c r="J20" s="40"/>
      <c r="K20" s="40"/>
      <c r="L20" s="40"/>
      <c r="M20" s="40"/>
      <c r="N20" s="49"/>
      <c r="O20" s="40"/>
      <c r="P20" s="40"/>
      <c r="Q20" s="40"/>
    </row>
    <row r="21">
      <c r="C21" s="0" t="s">
        <v>33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 ht="14.25" customHeight="1"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2"/>
    </row>
    <row r="24"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</row>
    <row r="25" ht="15">
      <c r="F25" s="54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>
      <c r="C26" s="0" t="s">
        <v>33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>
      <c r="C27" s="0" t="s">
        <v>33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  <row r="30" ht="15">
      <c r="F30" s="40"/>
      <c r="G30" s="54"/>
      <c r="H30" s="54"/>
      <c r="I30" s="54"/>
      <c r="J30" s="54"/>
      <c r="K30" s="40"/>
      <c r="L30" s="40"/>
      <c r="M30" s="40"/>
      <c r="N30" s="40"/>
      <c r="O30" s="40"/>
      <c r="P30" s="40"/>
      <c r="Q30" s="40"/>
    </row>
    <row r="31" ht="20.25">
      <c r="G31" s="28"/>
      <c r="H31" s="29"/>
      <c r="I31" s="40"/>
      <c r="J31" s="40"/>
      <c r="K31" s="40"/>
      <c r="L31" s="40"/>
      <c r="M31" s="40"/>
      <c r="N31" s="40"/>
      <c r="O31" s="40"/>
      <c r="P31" s="40"/>
      <c r="Q31" s="40"/>
    </row>
    <row r="32"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</row>
    <row r="33"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</row>
    <row r="34"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</row>
    <row r="35"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</row>
  </sheetData>
  <mergeCells>
    <mergeCell ref="B2:E2"/>
    <mergeCell ref="B3:D3"/>
    <mergeCell ref="E3:E7"/>
    <mergeCell ref="F3:R4"/>
    <mergeCell ref="D4:D7"/>
    <mergeCell ref="F5:R5"/>
    <mergeCell ref="F6:R6"/>
    <mergeCell ref="N2:R2"/>
    <mergeCell ref="Q13:R14"/>
    <mergeCell ref="M18:Q18"/>
    <mergeCell ref="B9:B12"/>
    <mergeCell ref="C9:C12"/>
    <mergeCell ref="D9:D12"/>
    <mergeCell ref="E11:E12"/>
    <mergeCell ref="N13:P14"/>
    <mergeCell ref="B17:E17"/>
  </mergeCells>
  <pageMargins left="0.25" right="0.25" top="0.75" bottom="0.75" header="0.3" footer="0.3"/>
  <pageSetup scale="61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28"/>
  <sheetViews>
    <sheetView zoomScale="90" zoomScaleNormal="90" workbookViewId="0">
      <selection activeCell="I9" sqref="I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4.5703125" customWidth="1"/>
    <col min="5" max="5" width="10.5703125" customWidth="1"/>
    <col min="6" max="13" width="9.28515625" customWidth="1"/>
    <col min="14" max="14" width="11.28515625" customWidth="1"/>
    <col min="15" max="15" width="9.28515625" customWidth="1"/>
    <col min="16" max="16" width="11" customWidth="1"/>
    <col min="17" max="17" width="9.28515625" customWidth="1"/>
    <col min="18" max="18" width="12.28515625" customWidth="1"/>
    <col min="19" max="256" width="11.42578125" customWidth="1"/>
  </cols>
  <sheetData>
    <row r="2" ht="18.75" customHeight="1">
      <c r="B2" s="111" t="s">
        <v>0</v>
      </c>
      <c r="C2" s="111"/>
      <c r="D2" s="111"/>
      <c r="E2" s="111"/>
      <c r="N2" s="93" t="s">
        <v>34</v>
      </c>
      <c r="O2" s="93"/>
      <c r="P2" s="93"/>
      <c r="Q2" s="93"/>
      <c r="R2" s="93"/>
    </row>
    <row r="3">
      <c r="B3" s="87" t="s">
        <v>2</v>
      </c>
      <c r="C3" s="88"/>
      <c r="D3" s="89"/>
      <c r="E3" s="120" t="s">
        <v>3</v>
      </c>
      <c r="F3" s="103" t="s">
        <v>4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>
      <c r="B4" s="15" t="s">
        <v>5</v>
      </c>
      <c r="C4" s="16" t="s">
        <v>6</v>
      </c>
      <c r="D4" s="90" t="s">
        <v>7</v>
      </c>
      <c r="E4" s="121"/>
      <c r="F4" s="106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>
      <c r="B5" s="15" t="s">
        <v>8</v>
      </c>
      <c r="C5" s="16" t="s">
        <v>9</v>
      </c>
      <c r="D5" s="91"/>
      <c r="E5" s="121"/>
      <c r="F5" s="123" t="s">
        <v>10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5"/>
    </row>
    <row r="6">
      <c r="B6" s="15" t="s">
        <v>11</v>
      </c>
      <c r="C6" s="16" t="s">
        <v>12</v>
      </c>
      <c r="D6" s="91"/>
      <c r="E6" s="121"/>
      <c r="F6" s="126" t="s">
        <v>13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8"/>
    </row>
    <row r="7">
      <c r="B7" s="17"/>
      <c r="C7" s="18"/>
      <c r="D7" s="92"/>
      <c r="E7" s="122"/>
      <c r="F7" s="19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20</v>
      </c>
      <c r="M7" s="20" t="s">
        <v>21</v>
      </c>
      <c r="N7" s="20" t="s">
        <v>22</v>
      </c>
      <c r="O7" s="20" t="s">
        <v>23</v>
      </c>
      <c r="P7" s="20" t="s">
        <v>24</v>
      </c>
      <c r="Q7" s="20" t="s">
        <v>25</v>
      </c>
      <c r="R7" s="21" t="s">
        <v>26</v>
      </c>
    </row>
    <row r="8" ht="7.5" customHeight="1">
      <c r="B8" s="22"/>
      <c r="C8" s="23"/>
      <c r="D8" s="23"/>
      <c r="E8" s="24"/>
      <c r="F8" s="24"/>
      <c r="G8" s="24"/>
      <c r="H8" s="24"/>
      <c r="I8" s="24"/>
      <c r="J8" s="24"/>
      <c r="K8" s="24"/>
      <c r="L8" s="24"/>
    </row>
    <row r="9" ht="18.75" customHeight="1">
      <c r="B9" s="129" t="s">
        <v>35</v>
      </c>
      <c r="C9" s="80" t="s">
        <v>36</v>
      </c>
      <c r="D9" s="84" t="s">
        <v>37</v>
      </c>
      <c r="E9" s="31">
        <v>200</v>
      </c>
      <c r="F9" s="32">
        <v>0</v>
      </c>
      <c r="G9" s="50">
        <v>65</v>
      </c>
      <c r="H9" s="50">
        <v>0</v>
      </c>
      <c r="I9" s="50">
        <v>20</v>
      </c>
      <c r="J9" s="50">
        <v>0</v>
      </c>
      <c r="K9" s="50">
        <v>5</v>
      </c>
      <c r="L9" s="50">
        <v>0</v>
      </c>
      <c r="M9" s="51">
        <v>20</v>
      </c>
      <c r="N9" s="51">
        <v>0</v>
      </c>
      <c r="O9" s="51">
        <v>40</v>
      </c>
      <c r="P9" s="51">
        <v>0</v>
      </c>
      <c r="Q9" s="51">
        <v>40</v>
      </c>
      <c r="R9" s="31">
        <v>200</v>
      </c>
    </row>
    <row r="10" ht="18.75" customHeight="1">
      <c r="B10" s="130"/>
      <c r="C10" s="81"/>
      <c r="D10" s="85"/>
      <c r="E10" s="34">
        <v>1</v>
      </c>
      <c r="F10" s="35">
        <f>SUM(F9/E9)</f>
        <v>0</v>
      </c>
      <c r="G10" s="35">
        <f>SUM(G9/E9)</f>
        <v>0.325</v>
      </c>
      <c r="H10" s="35">
        <f>SUM(H9/E9)</f>
        <v>0</v>
      </c>
      <c r="I10" s="35">
        <f>SUM(I9/E9)</f>
        <v>0.1</v>
      </c>
      <c r="J10" s="35">
        <f>SUM(J9/E9)</f>
        <v>0</v>
      </c>
      <c r="K10" s="35">
        <f>SUM(K9/E9)</f>
        <v>0.025</v>
      </c>
      <c r="L10" s="35">
        <f>SUM(L9/E9)</f>
        <v>0</v>
      </c>
      <c r="M10" s="35">
        <f>SUM(M9/E9)</f>
        <v>0.1</v>
      </c>
      <c r="N10" s="35">
        <f>SUM(N9/E9)</f>
        <v>0</v>
      </c>
      <c r="O10" s="35">
        <f>SUM(O9/E9)</f>
        <v>0.2</v>
      </c>
      <c r="P10" s="35">
        <f>SUM(P9/E9)</f>
        <v>0</v>
      </c>
      <c r="Q10" s="35">
        <f>SUM(Q9/E9)</f>
        <v>0.2</v>
      </c>
      <c r="R10" s="34">
        <f ref="R10:R14" t="shared" si="0">SUM(F10:Q10)</f>
        <v>0.95</v>
      </c>
    </row>
    <row r="11" ht="18.75" customHeight="1">
      <c r="B11" s="130"/>
      <c r="C11" s="82"/>
      <c r="D11" s="85"/>
      <c r="E11" s="109" t="s">
        <v>30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7">
        <f>SUM(F11:Q11)</f>
        <v>21</v>
      </c>
      <c r="S11" s="26"/>
    </row>
    <row r="12" ht="36" customHeight="1">
      <c r="B12" s="131"/>
      <c r="C12" s="83"/>
      <c r="D12" s="86"/>
      <c r="E12" s="110"/>
      <c r="F12" s="38">
        <f>+F11/E9</f>
        <v>0.095</v>
      </c>
      <c r="G12" s="38">
        <f>+G11/E9</f>
        <v>0.005</v>
      </c>
      <c r="H12" s="38">
        <f>+H11/E9</f>
        <v>0</v>
      </c>
      <c r="I12" s="38">
        <f>+I11/E9</f>
        <v>0</v>
      </c>
      <c r="J12" s="38">
        <f>+J11/E9</f>
        <v>0</v>
      </c>
      <c r="K12" s="38">
        <f>+K11/E9</f>
        <v>0</v>
      </c>
      <c r="L12" s="38">
        <f>+L11/E9</f>
        <v>0</v>
      </c>
      <c r="M12" s="38">
        <f>+M11/E9</f>
        <v>0</v>
      </c>
      <c r="N12" s="38">
        <f>+N11/E9</f>
        <v>0</v>
      </c>
      <c r="O12" s="38">
        <f>+O11/E9</f>
        <v>0.005</v>
      </c>
      <c r="P12" s="38">
        <f>+P11/E9</f>
        <v>0</v>
      </c>
      <c r="Q12" s="38">
        <f>+Q11/E9</f>
        <v>0</v>
      </c>
      <c r="R12" s="39">
        <f t="shared" si="0"/>
        <v>0.10500000000000001</v>
      </c>
    </row>
    <row r="13" ht="12.75" customHeight="1">
      <c r="N13" s="78" t="s">
        <v>31</v>
      </c>
      <c r="O13" s="78"/>
      <c r="P13" s="78"/>
      <c r="Q13" s="115">
        <f>+R11/E9</f>
        <v>0.105</v>
      </c>
      <c r="R13" s="116">
        <f t="shared" si="0"/>
        <v>0.105</v>
      </c>
    </row>
    <row r="14" ht="13.5" customHeight="1">
      <c r="J14" s="40"/>
      <c r="K14" s="40"/>
      <c r="L14" s="40"/>
      <c r="M14" s="40"/>
      <c r="N14" s="119"/>
      <c r="O14" s="119"/>
      <c r="P14" s="119"/>
      <c r="Q14" s="117">
        <f>SUM(E14:P14)</f>
        <v>0</v>
      </c>
      <c r="R14" s="118">
        <f t="shared" si="0"/>
        <v>0</v>
      </c>
    </row>
    <row r="15" ht="21" customHeight="1">
      <c r="B15" s="135" t="s">
        <v>38</v>
      </c>
      <c r="C15" s="136"/>
      <c r="D15" s="136"/>
      <c r="E15" s="137"/>
      <c r="F15" s="74"/>
      <c r="G15" s="74"/>
      <c r="H15" s="74"/>
      <c r="I15" s="74"/>
      <c r="J15" s="74"/>
      <c r="K15" s="40"/>
      <c r="L15" s="40"/>
      <c r="M15" s="79"/>
      <c r="N15" s="79"/>
      <c r="O15" s="79"/>
      <c r="P15" s="79"/>
      <c r="Q15" s="79"/>
    </row>
    <row r="16" ht="34.5" customHeight="1">
      <c r="B16" s="132" t="s">
        <v>39</v>
      </c>
      <c r="C16" s="133"/>
      <c r="D16" s="133"/>
      <c r="E16" s="134"/>
      <c r="F16" s="40"/>
      <c r="G16" s="41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7"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</row>
    <row r="18"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</row>
    <row r="19">
      <c r="C19" s="0" t="s">
        <v>33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</row>
    <row r="20">
      <c r="B20" s="3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1"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 ht="15">
      <c r="F23" s="74"/>
      <c r="G23" s="74"/>
      <c r="H23" s="74"/>
      <c r="I23" s="74"/>
      <c r="J23" s="74"/>
      <c r="K23" s="40"/>
      <c r="L23" s="40"/>
      <c r="M23" s="40"/>
      <c r="N23" s="40"/>
      <c r="O23" s="40"/>
      <c r="P23" s="40"/>
      <c r="Q23" s="40"/>
    </row>
    <row r="24" ht="20.25">
      <c r="C24" s="0" t="s">
        <v>33</v>
      </c>
      <c r="F24" s="40"/>
      <c r="G24" s="28"/>
      <c r="H24" s="29"/>
      <c r="I24" s="40"/>
      <c r="J24" s="40"/>
      <c r="K24" s="40"/>
      <c r="L24" s="40"/>
      <c r="M24" s="40"/>
      <c r="N24" s="40"/>
      <c r="O24" s="40"/>
      <c r="P24" s="40"/>
      <c r="Q24" s="40"/>
    </row>
    <row r="25">
      <c r="C25" s="0" t="s">
        <v>33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</sheetData>
  <mergeCells>
    <mergeCell ref="F15:J15"/>
    <mergeCell ref="M15:Q15"/>
    <mergeCell ref="F23:J23"/>
    <mergeCell ref="B9:B12"/>
    <mergeCell ref="C9:C12"/>
    <mergeCell ref="D9:D12"/>
    <mergeCell ref="E11:E12"/>
    <mergeCell ref="N13:P14"/>
    <mergeCell ref="Q13:R14"/>
    <mergeCell ref="B16:E16"/>
    <mergeCell ref="B15:E15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scale="67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29"/>
  <sheetViews>
    <sheetView zoomScale="90" zoomScaleNormal="90" workbookViewId="0">
      <selection activeCell="T11" sqref="T11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7" customWidth="1"/>
    <col min="4" max="4" width="13.28515625" customWidth="1"/>
    <col min="5" max="5" width="10" customWidth="1"/>
    <col min="6" max="6" width="8.28515625" customWidth="1"/>
    <col min="7" max="7" width="8.7109375" customWidth="1"/>
    <col min="8" max="8" width="7.7109375" customWidth="1"/>
    <col min="9" max="9" width="7.28515625" customWidth="1"/>
    <col min="10" max="10" width="7.7109375" customWidth="1"/>
    <col min="11" max="11" width="8" customWidth="1"/>
    <col min="12" max="12" width="7.28515625" customWidth="1"/>
    <col min="13" max="13" width="7.5703125" customWidth="1"/>
    <col min="14" max="14" width="11.42578125" customWidth="1"/>
    <col min="15" max="15" width="9.28515625" customWidth="1"/>
    <col min="16" max="16" width="11" customWidth="1"/>
    <col min="17" max="17" width="9.28515625" customWidth="1"/>
    <col min="18" max="18" width="9.85546875" customWidth="1"/>
    <col min="19" max="256" width="11.42578125" customWidth="1"/>
  </cols>
  <sheetData>
    <row r="2" ht="18.75" customHeight="1">
      <c r="B2" s="111" t="s">
        <v>0</v>
      </c>
      <c r="C2" s="111"/>
      <c r="D2" s="111"/>
      <c r="E2" s="111"/>
      <c r="N2" s="93" t="s">
        <v>1</v>
      </c>
      <c r="O2" s="93"/>
      <c r="P2" s="93"/>
      <c r="Q2" s="93"/>
      <c r="R2" s="93"/>
    </row>
    <row r="3">
      <c r="B3" s="87" t="s">
        <v>2</v>
      </c>
      <c r="C3" s="88"/>
      <c r="D3" s="89"/>
      <c r="E3" s="120" t="s">
        <v>3</v>
      </c>
      <c r="F3" s="103" t="s">
        <v>4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>
      <c r="B4" s="15" t="s">
        <v>5</v>
      </c>
      <c r="C4" s="16" t="s">
        <v>6</v>
      </c>
      <c r="D4" s="90" t="s">
        <v>7</v>
      </c>
      <c r="E4" s="121"/>
      <c r="F4" s="106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>
      <c r="B5" s="15" t="s">
        <v>8</v>
      </c>
      <c r="C5" s="16" t="s">
        <v>9</v>
      </c>
      <c r="D5" s="91"/>
      <c r="E5" s="121"/>
      <c r="F5" s="123" t="s">
        <v>10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5"/>
    </row>
    <row r="6">
      <c r="B6" s="15" t="s">
        <v>11</v>
      </c>
      <c r="C6" s="16" t="s">
        <v>12</v>
      </c>
      <c r="D6" s="91"/>
      <c r="E6" s="121"/>
      <c r="F6" s="126" t="s">
        <v>13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8"/>
    </row>
    <row r="7">
      <c r="B7" s="17"/>
      <c r="C7" s="18"/>
      <c r="D7" s="92"/>
      <c r="E7" s="122"/>
      <c r="F7" s="19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20</v>
      </c>
      <c r="M7" s="20" t="s">
        <v>21</v>
      </c>
      <c r="N7" s="20" t="s">
        <v>22</v>
      </c>
      <c r="O7" s="20" t="s">
        <v>23</v>
      </c>
      <c r="P7" s="20" t="s">
        <v>24</v>
      </c>
      <c r="Q7" s="20" t="s">
        <v>25</v>
      </c>
      <c r="R7" s="21" t="s">
        <v>26</v>
      </c>
    </row>
    <row r="8" ht="7.5" customHeight="1">
      <c r="B8" s="22"/>
      <c r="C8" s="23"/>
      <c r="D8" s="23"/>
      <c r="E8" s="24"/>
      <c r="F8" s="24"/>
      <c r="G8" s="24"/>
      <c r="H8" s="24"/>
      <c r="I8" s="24"/>
      <c r="J8" s="24"/>
      <c r="K8" s="24"/>
      <c r="L8" s="24"/>
    </row>
    <row r="9" ht="16.5" customHeight="1">
      <c r="B9" s="112" t="s">
        <v>27</v>
      </c>
      <c r="C9" s="138" t="s">
        <v>28</v>
      </c>
      <c r="D9" s="141" t="s">
        <v>29</v>
      </c>
      <c r="E9" s="31">
        <v>265</v>
      </c>
      <c r="F9" s="32">
        <v>30</v>
      </c>
      <c r="G9" s="50">
        <v>30</v>
      </c>
      <c r="H9" s="50">
        <v>25</v>
      </c>
      <c r="I9" s="50">
        <v>0</v>
      </c>
      <c r="J9" s="50">
        <v>0</v>
      </c>
      <c r="K9" s="50">
        <v>0</v>
      </c>
      <c r="L9" s="50">
        <v>20</v>
      </c>
      <c r="M9" s="51">
        <v>30</v>
      </c>
      <c r="N9" s="51">
        <v>30</v>
      </c>
      <c r="O9" s="51">
        <v>40</v>
      </c>
      <c r="P9" s="51">
        <v>40</v>
      </c>
      <c r="Q9" s="51">
        <v>20</v>
      </c>
      <c r="R9" s="31">
        <v>265</v>
      </c>
    </row>
    <row r="10" ht="17.25" customHeight="1">
      <c r="B10" s="113"/>
      <c r="C10" s="139"/>
      <c r="D10" s="142"/>
      <c r="E10" s="34">
        <v>1</v>
      </c>
      <c r="F10" s="35">
        <f>SUM(F9/E9)</f>
        <v>0.11320754716981132</v>
      </c>
      <c r="G10" s="35">
        <f>SUM(G9/E9)</f>
        <v>0.11320754716981132</v>
      </c>
      <c r="H10" s="35">
        <f>SUM(H9/E9)</f>
        <v>0.094339622641509441</v>
      </c>
      <c r="I10" s="35">
        <f>SUM(I9/E9)</f>
        <v>0</v>
      </c>
      <c r="J10" s="35">
        <f>SUM(J9/E9)</f>
        <v>0</v>
      </c>
      <c r="K10" s="35">
        <f>SUM(K9/E9)</f>
        <v>0</v>
      </c>
      <c r="L10" s="35">
        <f>SUM(L9/E9)</f>
        <v>0.075471698113207544</v>
      </c>
      <c r="M10" s="35">
        <f>SUM(M9/E9)</f>
        <v>0.11320754716981132</v>
      </c>
      <c r="N10" s="35">
        <f>SUM(N9/E9)</f>
        <v>0.11320754716981132</v>
      </c>
      <c r="O10" s="35">
        <f>SUM(O9/E9)</f>
        <v>0.15094339622641509</v>
      </c>
      <c r="P10" s="35">
        <f>SUM(P9/E9)</f>
        <v>0.15094339622641509</v>
      </c>
      <c r="Q10" s="35">
        <f>SUM(Q9/E9)</f>
        <v>0.075471698113207544</v>
      </c>
      <c r="R10" s="34">
        <f ref="R10:R14" t="shared" si="0">SUM(F10:Q10)</f>
        <v>0.99999999999999989</v>
      </c>
    </row>
    <row r="11" ht="16.5" customHeight="1">
      <c r="B11" s="113"/>
      <c r="C11" s="139"/>
      <c r="D11" s="142"/>
      <c r="E11" s="109" t="s">
        <v>30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7">
        <f>SUM(F11:Q11)</f>
        <v>331</v>
      </c>
      <c r="S11" s="26"/>
    </row>
    <row r="12" ht="17.25" customHeight="1">
      <c r="B12" s="114"/>
      <c r="C12" s="140"/>
      <c r="D12" s="143"/>
      <c r="E12" s="110"/>
      <c r="F12" s="38">
        <f>+F11/E9</f>
        <v>0.30188679245283018</v>
      </c>
      <c r="G12" s="38">
        <f>+G11/E9</f>
        <v>0.18867924528301888</v>
      </c>
      <c r="H12" s="38">
        <f>+H11/E9</f>
        <v>0.16226415094339622</v>
      </c>
      <c r="I12" s="38">
        <f>+I11/E9</f>
        <v>0</v>
      </c>
      <c r="J12" s="38">
        <f>+J11/E9</f>
        <v>0</v>
      </c>
      <c r="K12" s="38">
        <f>+K11/E9</f>
        <v>0.052830188679245285</v>
      </c>
      <c r="L12" s="38">
        <f>+L11/E9</f>
        <v>0.030188679245283019</v>
      </c>
      <c r="M12" s="38">
        <f>+M11/E9</f>
        <v>0.0075471698113207548</v>
      </c>
      <c r="N12" s="38">
        <f>+N11/E9</f>
        <v>0.0830188679245283</v>
      </c>
      <c r="O12" s="38">
        <f>+O11/E9</f>
        <v>0.15849056603773584</v>
      </c>
      <c r="P12" s="38">
        <f>+P11/E9</f>
        <v>0.17358490566037735</v>
      </c>
      <c r="Q12" s="38">
        <f>+Q11/E9</f>
        <v>0.09056603773584905</v>
      </c>
      <c r="R12" s="39">
        <f>SUM(F12:Q12)</f>
        <v>1.2490566037735849</v>
      </c>
    </row>
    <row r="13" ht="12.75" customHeight="1">
      <c r="N13" s="78" t="s">
        <v>31</v>
      </c>
      <c r="O13" s="78"/>
      <c r="P13" s="78"/>
      <c r="Q13" s="115">
        <f>+R11/E9</f>
        <v>1.2490566037735849</v>
      </c>
      <c r="R13" s="116">
        <f t="shared" si="0"/>
        <v>1.2490566037735849</v>
      </c>
    </row>
    <row r="14" ht="13.5" customHeight="1">
      <c r="J14" s="40"/>
      <c r="K14" s="40"/>
      <c r="L14" s="40"/>
      <c r="M14" s="40"/>
      <c r="N14" s="119"/>
      <c r="O14" s="119"/>
      <c r="P14" s="119"/>
      <c r="Q14" s="117">
        <f>SUM(E14:P14)</f>
        <v>0</v>
      </c>
      <c r="R14" s="118">
        <f t="shared" si="0"/>
        <v>0</v>
      </c>
    </row>
    <row r="15" ht="9" customHeight="1">
      <c r="D15" s="25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hidden="1" ht="15.75">
      <c r="F16" s="77"/>
      <c r="G16" s="77"/>
      <c r="H16" s="77"/>
      <c r="I16" s="77"/>
      <c r="J16" s="77"/>
      <c r="K16" s="40"/>
      <c r="L16" s="40"/>
      <c r="M16" s="77"/>
      <c r="N16" s="77"/>
      <c r="O16" s="77"/>
      <c r="P16" s="77"/>
      <c r="Q16" s="77"/>
      <c r="R16" s="26"/>
    </row>
    <row r="17" hidden="1" ht="15">
      <c r="F17" s="74"/>
      <c r="G17" s="74"/>
      <c r="H17" s="74"/>
      <c r="I17" s="74"/>
      <c r="J17" s="74"/>
      <c r="K17" s="40"/>
      <c r="L17" s="40"/>
      <c r="M17" s="79"/>
      <c r="N17" s="79"/>
      <c r="O17" s="79"/>
      <c r="P17" s="79"/>
      <c r="Q17" s="79"/>
    </row>
    <row r="18" ht="60" customHeight="1">
      <c r="B18" s="71" t="s">
        <v>32</v>
      </c>
      <c r="C18" s="72"/>
      <c r="D18" s="72"/>
      <c r="E18" s="73"/>
      <c r="F18" s="40"/>
      <c r="G18" s="41"/>
      <c r="H18" s="53"/>
      <c r="I18" s="40"/>
      <c r="J18" s="40"/>
      <c r="K18" s="40"/>
      <c r="L18" s="40"/>
      <c r="M18" s="40"/>
      <c r="N18" s="40"/>
      <c r="O18" s="40"/>
      <c r="P18" s="40"/>
      <c r="Q18" s="40"/>
    </row>
    <row r="19">
      <c r="F19" s="40"/>
      <c r="G19" s="40"/>
      <c r="H19" s="40"/>
      <c r="I19" s="144"/>
      <c r="J19" s="144"/>
      <c r="K19" s="144"/>
      <c r="L19" s="144"/>
      <c r="M19" s="144"/>
      <c r="N19" s="144"/>
      <c r="O19" s="144"/>
      <c r="P19" s="144"/>
      <c r="Q19" s="42"/>
    </row>
    <row r="20">
      <c r="C20" s="0" t="s">
        <v>33</v>
      </c>
      <c r="F20" s="40"/>
      <c r="G20" s="40"/>
      <c r="H20" s="40"/>
      <c r="I20" s="52"/>
      <c r="J20" s="52"/>
      <c r="K20" s="52"/>
      <c r="L20" s="52"/>
      <c r="M20" s="52"/>
      <c r="N20" s="52"/>
      <c r="O20" s="52"/>
      <c r="P20" s="52"/>
      <c r="Q20" s="40"/>
    </row>
    <row r="21"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</row>
    <row r="24" ht="15">
      <c r="F24" s="74"/>
      <c r="G24" s="74"/>
      <c r="H24" s="74"/>
      <c r="I24" s="74"/>
      <c r="J24" s="74"/>
      <c r="K24" s="40"/>
      <c r="L24" s="40"/>
      <c r="M24" s="40"/>
      <c r="N24" s="40"/>
      <c r="O24" s="40"/>
      <c r="P24" s="40"/>
      <c r="Q24" s="40"/>
    </row>
    <row r="25" ht="20.25">
      <c r="C25" s="0" t="s">
        <v>33</v>
      </c>
      <c r="F25" s="40"/>
      <c r="G25" s="28"/>
      <c r="H25" s="29"/>
      <c r="I25" s="40"/>
      <c r="J25" s="40"/>
      <c r="K25" s="40"/>
      <c r="L25" s="40"/>
      <c r="M25" s="40"/>
      <c r="N25" s="40"/>
      <c r="O25" s="40"/>
      <c r="P25" s="40"/>
      <c r="Q25" s="40"/>
    </row>
    <row r="26">
      <c r="C26" s="0" t="s">
        <v>33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</sheetData>
  <mergeCells>
    <mergeCell ref="B18:E18"/>
    <mergeCell ref="I19:P19"/>
    <mergeCell ref="F24:J24"/>
    <mergeCell ref="Q13:R14"/>
    <mergeCell ref="F16:J16"/>
    <mergeCell ref="M16:Q16"/>
    <mergeCell ref="F17:J17"/>
    <mergeCell ref="M17:Q17"/>
    <mergeCell ref="B2:E2"/>
    <mergeCell ref="B3:D3"/>
    <mergeCell ref="E3:E7"/>
    <mergeCell ref="F3:R4"/>
    <mergeCell ref="D4:D7"/>
    <mergeCell ref="F5:R5"/>
    <mergeCell ref="F6:R6"/>
    <mergeCell ref="N2:R2"/>
    <mergeCell ref="B9:B12"/>
    <mergeCell ref="C9:C12"/>
    <mergeCell ref="D9:D12"/>
    <mergeCell ref="E11:E12"/>
    <mergeCell ref="N13:P14"/>
  </mergeCells>
  <pageMargins left="0.25" right="0.25" top="0.75" bottom="0.75" header="0.3" footer="0.3"/>
  <pageSetup paperSize="9" scale="78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29"/>
  <sheetViews>
    <sheetView zoomScale="90" zoomScaleNormal="90" workbookViewId="0">
      <selection activeCell="E9" sqref="E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2.85546875" customWidth="1"/>
    <col min="5" max="5" width="10" customWidth="1"/>
    <col min="6" max="6" width="7.85546875" customWidth="1"/>
    <col min="7" max="7" width="9.28515625" customWidth="1"/>
    <col min="8" max="8" width="7.85546875" customWidth="1"/>
    <col min="9" max="9" width="7" customWidth="1"/>
    <col min="10" max="10" width="8.140625" customWidth="1"/>
    <col min="11" max="11" width="7.42578125" customWidth="1"/>
    <col min="12" max="12" width="7.7109375" customWidth="1"/>
    <col min="13" max="13" width="8.42578125" customWidth="1"/>
    <col min="14" max="14" width="11.28515625" customWidth="1"/>
    <col min="15" max="15" width="9.28515625" customWidth="1"/>
    <col min="16" max="16" width="11" customWidth="1"/>
    <col min="17" max="17" width="9.28515625" customWidth="1"/>
    <col min="18" max="18" width="9.7109375" customWidth="1"/>
    <col min="19" max="256" width="11.42578125" customWidth="1"/>
  </cols>
  <sheetData>
    <row r="2" ht="18.75" customHeight="1">
      <c r="B2" s="111" t="s">
        <v>0</v>
      </c>
      <c r="C2" s="111"/>
      <c r="D2" s="111"/>
      <c r="E2" s="111"/>
      <c r="N2" s="93" t="s">
        <v>53</v>
      </c>
      <c r="O2" s="93"/>
      <c r="P2" s="93"/>
      <c r="Q2" s="93"/>
      <c r="R2" s="93"/>
    </row>
    <row r="3">
      <c r="B3" s="87" t="s">
        <v>2</v>
      </c>
      <c r="C3" s="88"/>
      <c r="D3" s="89"/>
      <c r="E3" s="120" t="s">
        <v>3</v>
      </c>
      <c r="F3" s="103" t="s">
        <v>4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>
      <c r="B4" s="15" t="s">
        <v>5</v>
      </c>
      <c r="C4" s="16" t="s">
        <v>6</v>
      </c>
      <c r="D4" s="90" t="s">
        <v>7</v>
      </c>
      <c r="E4" s="121"/>
      <c r="F4" s="106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>
      <c r="B5" s="15" t="s">
        <v>8</v>
      </c>
      <c r="C5" s="16" t="s">
        <v>9</v>
      </c>
      <c r="D5" s="91"/>
      <c r="E5" s="121"/>
      <c r="F5" s="123" t="s">
        <v>10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5"/>
    </row>
    <row r="6">
      <c r="B6" s="15" t="s">
        <v>11</v>
      </c>
      <c r="C6" s="16" t="s">
        <v>12</v>
      </c>
      <c r="D6" s="91"/>
      <c r="E6" s="121"/>
      <c r="F6" s="126" t="s">
        <v>13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8"/>
    </row>
    <row r="7">
      <c r="B7" s="17"/>
      <c r="C7" s="18"/>
      <c r="D7" s="92"/>
      <c r="E7" s="122"/>
      <c r="F7" s="19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20</v>
      </c>
      <c r="M7" s="20" t="s">
        <v>21</v>
      </c>
      <c r="N7" s="20" t="s">
        <v>22</v>
      </c>
      <c r="O7" s="20" t="s">
        <v>23</v>
      </c>
      <c r="P7" s="20" t="s">
        <v>24</v>
      </c>
      <c r="Q7" s="20" t="s">
        <v>25</v>
      </c>
      <c r="R7" s="21" t="s">
        <v>26</v>
      </c>
    </row>
    <row r="8" ht="7.5" customHeight="1">
      <c r="B8" s="22"/>
      <c r="C8" s="23"/>
      <c r="D8" s="23"/>
      <c r="E8" s="24"/>
      <c r="F8" s="24"/>
      <c r="G8" s="24"/>
      <c r="H8" s="24"/>
      <c r="I8" s="24"/>
      <c r="J8" s="24"/>
      <c r="K8" s="24"/>
      <c r="L8" s="24"/>
    </row>
    <row r="9" ht="18.75" customHeight="1">
      <c r="B9" s="112" t="s">
        <v>54</v>
      </c>
      <c r="C9" s="80" t="s">
        <v>55</v>
      </c>
      <c r="D9" s="141" t="s">
        <v>37</v>
      </c>
      <c r="E9" s="31">
        <v>905</v>
      </c>
      <c r="F9" s="32">
        <v>85</v>
      </c>
      <c r="G9" s="50">
        <v>100</v>
      </c>
      <c r="H9" s="50">
        <v>120</v>
      </c>
      <c r="I9" s="50">
        <v>50</v>
      </c>
      <c r="J9" s="50">
        <v>45</v>
      </c>
      <c r="K9" s="50">
        <v>40</v>
      </c>
      <c r="L9" s="50">
        <v>30</v>
      </c>
      <c r="M9" s="51">
        <v>40</v>
      </c>
      <c r="N9" s="51">
        <v>130</v>
      </c>
      <c r="O9" s="51">
        <v>120</v>
      </c>
      <c r="P9" s="51">
        <v>120</v>
      </c>
      <c r="Q9" s="51">
        <v>25</v>
      </c>
      <c r="R9" s="31">
        <v>905</v>
      </c>
    </row>
    <row r="10" ht="18.75" customHeight="1">
      <c r="B10" s="113"/>
      <c r="C10" s="81"/>
      <c r="D10" s="142"/>
      <c r="E10" s="34">
        <v>1</v>
      </c>
      <c r="F10" s="35">
        <f>SUM(F9/E9)</f>
        <v>0.093922651933701654</v>
      </c>
      <c r="G10" s="35">
        <f>SUM(G9/E9)</f>
        <v>0.11049723756906077</v>
      </c>
      <c r="H10" s="35">
        <f>SUM(H9/E9)</f>
        <v>0.13259668508287292</v>
      </c>
      <c r="I10" s="35">
        <f>SUM(I9/E9)</f>
        <v>0.055248618784530384</v>
      </c>
      <c r="J10" s="35">
        <f>SUM(J9/E9)</f>
        <v>0.049723756906077346</v>
      </c>
      <c r="K10" s="35">
        <f>SUM(K9/E9)</f>
        <v>0.044198895027624308</v>
      </c>
      <c r="L10" s="35">
        <f>SUM(L9/E9)</f>
        <v>0.033149171270718231</v>
      </c>
      <c r="M10" s="35">
        <f>SUM(M9/E9)</f>
        <v>0.044198895027624308</v>
      </c>
      <c r="N10" s="35">
        <f>SUM(N9/E9)</f>
        <v>0.143646408839779</v>
      </c>
      <c r="O10" s="35">
        <f>SUM(O9/E9)</f>
        <v>0.13259668508287292</v>
      </c>
      <c r="P10" s="35">
        <f>SUM(P9/E9)</f>
        <v>0.13259668508287292</v>
      </c>
      <c r="Q10" s="35">
        <f>SUM(Q9/E9)</f>
        <v>0.027624309392265192</v>
      </c>
      <c r="R10" s="34">
        <f ref="R10:R14" t="shared" si="0">SUM(F10:Q10)</f>
        <v>1</v>
      </c>
    </row>
    <row r="11" ht="18.75" customHeight="1">
      <c r="B11" s="113"/>
      <c r="C11" s="81"/>
      <c r="D11" s="142"/>
      <c r="E11" s="109" t="s">
        <v>30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56">
        <v>0</v>
      </c>
      <c r="Q11" s="36">
        <v>0</v>
      </c>
      <c r="R11" s="37">
        <f t="shared" si="0"/>
        <v>651</v>
      </c>
      <c r="S11" s="26"/>
    </row>
    <row r="12" ht="48" customHeight="1">
      <c r="B12" s="114"/>
      <c r="C12" s="145"/>
      <c r="D12" s="143"/>
      <c r="E12" s="110"/>
      <c r="F12" s="38">
        <f>+F11/E9</f>
        <v>0.15359116022099448</v>
      </c>
      <c r="G12" s="38">
        <f>+G11/E9</f>
        <v>0.21657458563535911</v>
      </c>
      <c r="H12" s="38">
        <f>+H11/E9</f>
        <v>0.13149171270718232</v>
      </c>
      <c r="I12" s="38">
        <f>+I11/E9</f>
        <v>0</v>
      </c>
      <c r="J12" s="38">
        <f>+J11/E9</f>
        <v>0.0044198895027624313</v>
      </c>
      <c r="K12" s="38">
        <f>+K11/E9</f>
        <v>0.0077348066298342545</v>
      </c>
      <c r="L12" s="38">
        <f>+L11/E9</f>
        <v>0.0033149171270718232</v>
      </c>
      <c r="M12" s="38">
        <f>+M11/E9</f>
        <v>0.0033149171270718232</v>
      </c>
      <c r="N12" s="38">
        <f>+N11/E9</f>
        <v>0.032044198895027624</v>
      </c>
      <c r="O12" s="38">
        <f>+O11/E9</f>
        <v>0.054143646408839778</v>
      </c>
      <c r="P12" s="38">
        <f>+P11/E9</f>
        <v>0.079558011049723751</v>
      </c>
      <c r="Q12" s="38">
        <f>+Q11/E9</f>
        <v>0.033149171270718231</v>
      </c>
      <c r="R12" s="39">
        <f>SUM(F12:Q12)</f>
        <v>0.71933701657458549</v>
      </c>
    </row>
    <row r="13" ht="12.75" customHeight="1">
      <c r="N13" s="78" t="s">
        <v>31</v>
      </c>
      <c r="O13" s="78"/>
      <c r="P13" s="78"/>
      <c r="Q13" s="115">
        <f>+R11/E9</f>
        <v>0.7193370165745856</v>
      </c>
      <c r="R13" s="116">
        <f t="shared" si="0"/>
        <v>0.7193370165745856</v>
      </c>
    </row>
    <row r="14" ht="13.5" customHeight="1">
      <c r="J14" s="40"/>
      <c r="K14" s="40"/>
      <c r="L14" s="40"/>
      <c r="M14" s="40"/>
      <c r="N14" s="119"/>
      <c r="O14" s="119"/>
      <c r="P14" s="119"/>
      <c r="Q14" s="117">
        <f>SUM(E14:P14)</f>
        <v>0</v>
      </c>
      <c r="R14" s="118">
        <f t="shared" si="0"/>
        <v>0</v>
      </c>
    </row>
    <row r="15" ht="9" customHeight="1">
      <c r="D15" s="25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hidden="1" ht="15.75">
      <c r="F16" s="77"/>
      <c r="G16" s="77"/>
      <c r="H16" s="77"/>
      <c r="I16" s="77"/>
      <c r="J16" s="77"/>
      <c r="K16" s="40"/>
      <c r="L16" s="40"/>
      <c r="M16" s="77"/>
      <c r="N16" s="77"/>
      <c r="O16" s="77"/>
      <c r="P16" s="77"/>
      <c r="Q16" s="77"/>
      <c r="R16" s="26"/>
    </row>
    <row r="17" hidden="1" ht="15">
      <c r="F17" s="74"/>
      <c r="G17" s="74"/>
      <c r="H17" s="74"/>
      <c r="I17" s="74"/>
      <c r="J17" s="74"/>
      <c r="K17" s="40"/>
      <c r="L17" s="40"/>
      <c r="M17" s="79"/>
      <c r="N17" s="79"/>
      <c r="O17" s="79"/>
      <c r="P17" s="79"/>
      <c r="Q17" s="79"/>
    </row>
    <row r="18" ht="68.25" customHeight="1">
      <c r="B18" s="71" t="s">
        <v>52</v>
      </c>
      <c r="C18" s="72"/>
      <c r="D18" s="72"/>
      <c r="E18" s="73"/>
      <c r="F18" s="40"/>
      <c r="G18" s="41"/>
      <c r="H18" s="53"/>
      <c r="I18" s="40"/>
      <c r="J18" s="40"/>
      <c r="K18" s="40"/>
      <c r="L18" s="40"/>
      <c r="M18" s="40"/>
      <c r="N18" s="40"/>
      <c r="O18" s="40"/>
      <c r="P18" s="40"/>
      <c r="Q18" s="40"/>
    </row>
    <row r="19">
      <c r="F19" s="40"/>
      <c r="G19" s="40"/>
      <c r="H19" s="40"/>
      <c r="I19" s="144"/>
      <c r="J19" s="144"/>
      <c r="K19" s="144"/>
      <c r="L19" s="144"/>
      <c r="M19" s="144"/>
      <c r="N19" s="144"/>
      <c r="O19" s="144"/>
      <c r="P19" s="144"/>
      <c r="Q19" s="42"/>
    </row>
    <row r="20">
      <c r="C20" s="0" t="s">
        <v>33</v>
      </c>
      <c r="F20" s="40"/>
      <c r="G20" s="40"/>
      <c r="H20" s="40"/>
      <c r="I20" s="52"/>
      <c r="J20" s="52"/>
      <c r="K20" s="52"/>
      <c r="L20" s="52"/>
      <c r="M20" s="52"/>
      <c r="N20" s="52"/>
      <c r="O20" s="52"/>
      <c r="P20" s="52"/>
      <c r="Q20" s="40"/>
    </row>
    <row r="21"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</row>
    <row r="24" ht="15">
      <c r="F24" s="74"/>
      <c r="G24" s="74"/>
      <c r="H24" s="74"/>
      <c r="I24" s="74"/>
      <c r="J24" s="74"/>
      <c r="K24" s="40"/>
      <c r="L24" s="40"/>
      <c r="M24" s="40"/>
      <c r="N24" s="40"/>
      <c r="O24" s="40"/>
      <c r="P24" s="40"/>
      <c r="Q24" s="40"/>
    </row>
    <row r="25" ht="20.25">
      <c r="C25" s="0" t="s">
        <v>33</v>
      </c>
      <c r="F25" s="40"/>
      <c r="G25" s="28"/>
      <c r="H25" s="29"/>
      <c r="I25" s="40"/>
      <c r="J25" s="40"/>
      <c r="K25" s="40"/>
      <c r="L25" s="40"/>
      <c r="M25" s="40"/>
      <c r="N25" s="40"/>
      <c r="O25" s="40"/>
      <c r="P25" s="40"/>
      <c r="Q25" s="40"/>
    </row>
    <row r="26">
      <c r="C26" s="0" t="s">
        <v>33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</sheetData>
  <mergeCells>
    <mergeCell ref="F24:J24"/>
    <mergeCell ref="F16:J16"/>
    <mergeCell ref="M16:Q16"/>
    <mergeCell ref="F17:J17"/>
    <mergeCell ref="M17:Q17"/>
    <mergeCell ref="B18:E18"/>
    <mergeCell ref="I19:P19"/>
    <mergeCell ref="B9:B12"/>
    <mergeCell ref="C9:C12"/>
    <mergeCell ref="D9:D12"/>
    <mergeCell ref="E11:E12"/>
    <mergeCell ref="N13:P14"/>
    <mergeCell ref="Q13:R14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paperSize="9" scale="77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29"/>
  <sheetViews>
    <sheetView zoomScale="90" zoomScaleNormal="90" workbookViewId="0">
      <selection activeCell="F9" sqref="F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3.140625" customWidth="1"/>
    <col min="5" max="5" width="9.42578125" customWidth="1"/>
    <col min="6" max="6" width="8.140625" customWidth="1"/>
    <col min="7" max="7" width="9.28515625" customWidth="1"/>
    <col min="8" max="8" width="8.140625" customWidth="1"/>
    <col min="9" max="9" width="7.42578125" customWidth="1"/>
    <col min="10" max="10" width="7.5703125" customWidth="1"/>
    <col min="11" max="11" width="7.42578125" customWidth="1"/>
    <col min="12" max="12" width="7.5703125" customWidth="1"/>
    <col min="13" max="13" width="8.7109375" customWidth="1"/>
    <col min="14" max="14" width="11.28515625" customWidth="1"/>
    <col min="15" max="15" width="9.28515625" customWidth="1"/>
    <col min="16" max="16" width="11" customWidth="1"/>
    <col min="17" max="18" width="9.28515625" customWidth="1"/>
    <col min="19" max="256" width="11.42578125" customWidth="1"/>
  </cols>
  <sheetData>
    <row r="2" ht="18.75" customHeight="1">
      <c r="B2" s="111" t="s">
        <v>0</v>
      </c>
      <c r="C2" s="111"/>
      <c r="D2" s="111"/>
      <c r="E2" s="111"/>
      <c r="N2" s="93" t="s">
        <v>56</v>
      </c>
      <c r="O2" s="93"/>
      <c r="P2" s="93"/>
      <c r="Q2" s="93"/>
      <c r="R2" s="93"/>
    </row>
    <row r="3">
      <c r="B3" s="87" t="s">
        <v>2</v>
      </c>
      <c r="C3" s="88"/>
      <c r="D3" s="89"/>
      <c r="E3" s="120" t="s">
        <v>3</v>
      </c>
      <c r="F3" s="103" t="s">
        <v>4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>
      <c r="B4" s="15" t="s">
        <v>5</v>
      </c>
      <c r="C4" s="16" t="s">
        <v>6</v>
      </c>
      <c r="D4" s="90" t="s">
        <v>7</v>
      </c>
      <c r="E4" s="121"/>
      <c r="F4" s="106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>
      <c r="B5" s="15" t="s">
        <v>8</v>
      </c>
      <c r="C5" s="16" t="s">
        <v>9</v>
      </c>
      <c r="D5" s="91"/>
      <c r="E5" s="121"/>
      <c r="F5" s="123" t="s">
        <v>10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5"/>
    </row>
    <row r="6">
      <c r="B6" s="15" t="s">
        <v>11</v>
      </c>
      <c r="C6" s="16" t="s">
        <v>12</v>
      </c>
      <c r="D6" s="91"/>
      <c r="E6" s="121"/>
      <c r="F6" s="126" t="s">
        <v>13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8"/>
    </row>
    <row r="7">
      <c r="B7" s="17"/>
      <c r="C7" s="18"/>
      <c r="D7" s="92"/>
      <c r="E7" s="122"/>
      <c r="F7" s="19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20</v>
      </c>
      <c r="M7" s="20" t="s">
        <v>21</v>
      </c>
      <c r="N7" s="20" t="s">
        <v>22</v>
      </c>
      <c r="O7" s="20" t="s">
        <v>23</v>
      </c>
      <c r="P7" s="20" t="s">
        <v>24</v>
      </c>
      <c r="Q7" s="20" t="s">
        <v>25</v>
      </c>
      <c r="R7" s="21" t="s">
        <v>26</v>
      </c>
    </row>
    <row r="8" ht="7.5" customHeight="1">
      <c r="B8" s="22"/>
      <c r="C8" s="23"/>
      <c r="D8" s="23"/>
      <c r="E8" s="24"/>
      <c r="F8" s="24"/>
      <c r="G8" s="24"/>
      <c r="H8" s="24"/>
      <c r="I8" s="24"/>
      <c r="J8" s="24"/>
      <c r="K8" s="24"/>
      <c r="L8" s="24"/>
    </row>
    <row r="9" ht="18.75" customHeight="1">
      <c r="B9" s="112" t="s">
        <v>57</v>
      </c>
      <c r="C9" s="80" t="s">
        <v>58</v>
      </c>
      <c r="D9" s="141" t="s">
        <v>37</v>
      </c>
      <c r="E9" s="31">
        <v>186</v>
      </c>
      <c r="F9" s="32">
        <v>12</v>
      </c>
      <c r="G9" s="50">
        <v>15</v>
      </c>
      <c r="H9" s="50">
        <v>15</v>
      </c>
      <c r="I9" s="50">
        <v>10</v>
      </c>
      <c r="J9" s="50">
        <v>10</v>
      </c>
      <c r="K9" s="50">
        <v>10</v>
      </c>
      <c r="L9" s="50">
        <v>15</v>
      </c>
      <c r="M9" s="51">
        <v>18</v>
      </c>
      <c r="N9" s="51">
        <v>22</v>
      </c>
      <c r="O9" s="51">
        <v>22</v>
      </c>
      <c r="P9" s="51">
        <v>22</v>
      </c>
      <c r="Q9" s="51">
        <v>15</v>
      </c>
      <c r="R9" s="31">
        <v>186</v>
      </c>
    </row>
    <row r="10" ht="18.75" customHeight="1">
      <c r="B10" s="113"/>
      <c r="C10" s="81"/>
      <c r="D10" s="142"/>
      <c r="E10" s="34">
        <v>1</v>
      </c>
      <c r="F10" s="35">
        <f>SUM(F9/E9)</f>
        <v>0.064516129032258063</v>
      </c>
      <c r="G10" s="35">
        <f>SUM(G9/E9)</f>
        <v>0.080645161290322578</v>
      </c>
      <c r="H10" s="35">
        <f>SUM(H9/E9)</f>
        <v>0.080645161290322578</v>
      </c>
      <c r="I10" s="35">
        <f>SUM(I9/E9)</f>
        <v>0.053763440860215055</v>
      </c>
      <c r="J10" s="35">
        <f>SUM(J9/E9)</f>
        <v>0.053763440860215055</v>
      </c>
      <c r="K10" s="35">
        <f>SUM(K9/E9)</f>
        <v>0.053763440860215055</v>
      </c>
      <c r="L10" s="35">
        <f>SUM(L9/E9)</f>
        <v>0.080645161290322578</v>
      </c>
      <c r="M10" s="35">
        <f>SUM(M9/E9)</f>
        <v>0.0967741935483871</v>
      </c>
      <c r="N10" s="35">
        <f>SUM(N9/E9)</f>
        <v>0.11827956989247312</v>
      </c>
      <c r="O10" s="35">
        <f>SUM(O9/E9)</f>
        <v>0.11827956989247312</v>
      </c>
      <c r="P10" s="35">
        <f>SUM(P9/E9)</f>
        <v>0.11827956989247312</v>
      </c>
      <c r="Q10" s="35">
        <f>SUM(Q9/E9)</f>
        <v>0.080645161290322578</v>
      </c>
      <c r="R10" s="34">
        <f ref="R10:R14" t="shared" si="0">SUM(F10:Q10)</f>
        <v>1</v>
      </c>
    </row>
    <row r="11" ht="18.75" customHeight="1">
      <c r="B11" s="113"/>
      <c r="C11" s="81"/>
      <c r="D11" s="142"/>
      <c r="E11" s="109" t="s">
        <v>30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7">
        <f>SUM(F11:Q11)</f>
        <v>63</v>
      </c>
      <c r="S11" s="26"/>
    </row>
    <row r="12" ht="39" customHeight="1">
      <c r="B12" s="114"/>
      <c r="C12" s="145"/>
      <c r="D12" s="143"/>
      <c r="E12" s="110"/>
      <c r="F12" s="38">
        <f>+F11/E9</f>
        <v>0.10752688172043011</v>
      </c>
      <c r="G12" s="38">
        <f>+G11/E9</f>
        <v>0.069892473118279563</v>
      </c>
      <c r="H12" s="38">
        <f>+H11/E9</f>
        <v>0.10752688172043011</v>
      </c>
      <c r="I12" s="38">
        <f>+I11/E9</f>
        <v>0</v>
      </c>
      <c r="J12" s="38">
        <f>+J11/E9</f>
        <v>0</v>
      </c>
      <c r="K12" s="38">
        <f>+K11/E9</f>
        <v>0</v>
      </c>
      <c r="L12" s="38">
        <f>+L11/E9</f>
        <v>0</v>
      </c>
      <c r="M12" s="38">
        <f>+M11/E9</f>
        <v>0</v>
      </c>
      <c r="N12" s="38">
        <f>+N11/E9</f>
        <v>0</v>
      </c>
      <c r="O12" s="38">
        <f>+O11/E9</f>
        <v>0</v>
      </c>
      <c r="P12" s="38">
        <f>+P11/E9</f>
        <v>0.0053763440860215058</v>
      </c>
      <c r="Q12" s="38">
        <f>+Q11/E9</f>
        <v>0.048387096774193547</v>
      </c>
      <c r="R12" s="39">
        <f>SUM(F12:Q12)</f>
        <v>0.33870967741935487</v>
      </c>
    </row>
    <row r="13" ht="12.75" customHeight="1">
      <c r="N13" s="78" t="s">
        <v>31</v>
      </c>
      <c r="O13" s="78"/>
      <c r="P13" s="78"/>
      <c r="Q13" s="115">
        <f>+R11/E9</f>
        <v>0.33870967741935482</v>
      </c>
      <c r="R13" s="116">
        <f t="shared" si="0"/>
        <v>0.33870967741935482</v>
      </c>
    </row>
    <row r="14" ht="13.5" customHeight="1">
      <c r="J14" s="40"/>
      <c r="K14" s="40"/>
      <c r="L14" s="40"/>
      <c r="M14" s="40"/>
      <c r="N14" s="119"/>
      <c r="O14" s="119"/>
      <c r="P14" s="119"/>
      <c r="Q14" s="117">
        <f>SUM(E14:P14)</f>
        <v>0</v>
      </c>
      <c r="R14" s="118">
        <f t="shared" si="0"/>
        <v>0</v>
      </c>
    </row>
    <row r="15" ht="9" customHeight="1">
      <c r="D15" s="25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hidden="1" ht="15.75">
      <c r="F16" s="77"/>
      <c r="G16" s="77"/>
      <c r="H16" s="77"/>
      <c r="I16" s="77"/>
      <c r="J16" s="77"/>
      <c r="K16" s="40"/>
      <c r="L16" s="40"/>
      <c r="M16" s="77"/>
      <c r="N16" s="77"/>
      <c r="O16" s="77"/>
      <c r="P16" s="77"/>
      <c r="Q16" s="77"/>
      <c r="R16" s="26"/>
    </row>
    <row r="17" hidden="1" ht="15">
      <c r="F17" s="74"/>
      <c r="G17" s="74"/>
      <c r="H17" s="74"/>
      <c r="I17" s="74"/>
      <c r="J17" s="74"/>
      <c r="K17" s="40"/>
      <c r="L17" s="40"/>
      <c r="M17" s="79"/>
      <c r="N17" s="79"/>
      <c r="O17" s="79"/>
      <c r="P17" s="79"/>
      <c r="Q17" s="79"/>
    </row>
    <row r="18" ht="50.25" customHeight="1">
      <c r="B18" s="146" t="s">
        <v>52</v>
      </c>
      <c r="C18" s="147"/>
      <c r="D18" s="147"/>
      <c r="E18" s="148"/>
      <c r="F18" s="40"/>
      <c r="G18" s="41"/>
      <c r="H18" s="53"/>
      <c r="I18" s="40"/>
      <c r="J18" s="40"/>
      <c r="K18" s="40"/>
      <c r="L18" s="40"/>
      <c r="M18" s="40"/>
      <c r="N18" s="40"/>
      <c r="O18" s="40"/>
      <c r="P18" s="40"/>
      <c r="Q18" s="40"/>
    </row>
    <row r="19">
      <c r="F19" s="40"/>
      <c r="G19" s="40"/>
      <c r="H19" s="40"/>
      <c r="I19" s="144"/>
      <c r="J19" s="144"/>
      <c r="K19" s="144"/>
      <c r="L19" s="144"/>
      <c r="M19" s="144"/>
      <c r="N19" s="144"/>
      <c r="O19" s="144"/>
      <c r="P19" s="144"/>
      <c r="Q19" s="42"/>
    </row>
    <row r="20">
      <c r="C20" s="0" t="s">
        <v>33</v>
      </c>
      <c r="F20" s="40"/>
      <c r="G20" s="40"/>
      <c r="H20" s="40"/>
      <c r="I20" s="52"/>
      <c r="J20" s="52"/>
      <c r="K20" s="52"/>
      <c r="L20" s="52"/>
      <c r="M20" s="52"/>
      <c r="N20" s="52"/>
      <c r="O20" s="52"/>
      <c r="P20" s="52"/>
      <c r="Q20" s="40"/>
    </row>
    <row r="21"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</row>
    <row r="24" ht="15">
      <c r="F24" s="74"/>
      <c r="G24" s="74"/>
      <c r="H24" s="74"/>
      <c r="I24" s="74"/>
      <c r="J24" s="74"/>
      <c r="K24" s="40"/>
      <c r="L24" s="40"/>
      <c r="M24" s="40"/>
      <c r="N24" s="40"/>
      <c r="O24" s="40"/>
      <c r="P24" s="40"/>
      <c r="Q24" s="40"/>
    </row>
    <row r="25" ht="20.25">
      <c r="C25" s="0" t="s">
        <v>33</v>
      </c>
      <c r="F25" s="40"/>
      <c r="G25" s="28"/>
      <c r="H25" s="29"/>
      <c r="I25" s="40"/>
      <c r="J25" s="40"/>
      <c r="K25" s="40"/>
      <c r="L25" s="40"/>
      <c r="M25" s="40"/>
      <c r="N25" s="40"/>
      <c r="O25" s="40"/>
      <c r="P25" s="40"/>
      <c r="Q25" s="40"/>
    </row>
    <row r="26">
      <c r="C26" s="0" t="s">
        <v>33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</sheetData>
  <mergeCells>
    <mergeCell ref="F24:J24"/>
    <mergeCell ref="F16:J16"/>
    <mergeCell ref="M16:Q16"/>
    <mergeCell ref="F17:J17"/>
    <mergeCell ref="M17:Q17"/>
    <mergeCell ref="B18:E18"/>
    <mergeCell ref="I19:P19"/>
    <mergeCell ref="B9:B12"/>
    <mergeCell ref="C9:C12"/>
    <mergeCell ref="D9:D12"/>
    <mergeCell ref="E11:E12"/>
    <mergeCell ref="N13:P14"/>
    <mergeCell ref="Q13:R14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paperSize="9" scale="77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29"/>
  <sheetViews>
    <sheetView zoomScale="90" zoomScaleNormal="90" workbookViewId="0">
      <selection activeCell="E9" sqref="E9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3.42578125" customWidth="1"/>
    <col min="5" max="5" width="10.42578125" customWidth="1"/>
    <col min="6" max="6" width="7.7109375" customWidth="1"/>
    <col min="7" max="7" width="8.7109375" customWidth="1"/>
    <col min="8" max="8" width="8" customWidth="1"/>
    <col min="9" max="9" width="7.42578125" customWidth="1"/>
    <col min="10" max="10" width="7.7109375" customWidth="1"/>
    <col min="11" max="11" width="7.5703125" customWidth="1"/>
    <col min="12" max="12" width="7.42578125" customWidth="1"/>
    <col min="13" max="13" width="8.140625" customWidth="1"/>
    <col min="14" max="14" width="11.28515625" customWidth="1"/>
    <col min="15" max="15" width="9.28515625" customWidth="1"/>
    <col min="16" max="16" width="11" customWidth="1"/>
    <col min="17" max="17" width="9.28515625" customWidth="1"/>
    <col min="18" max="18" width="10.28515625" customWidth="1"/>
    <col min="19" max="256" width="11.42578125" customWidth="1"/>
  </cols>
  <sheetData>
    <row r="2" ht="18.75" customHeight="1">
      <c r="B2" s="111" t="s">
        <v>0</v>
      </c>
      <c r="C2" s="111"/>
      <c r="D2" s="111"/>
      <c r="E2" s="111"/>
      <c r="N2" s="93" t="s">
        <v>63</v>
      </c>
      <c r="O2" s="93"/>
      <c r="P2" s="93"/>
      <c r="Q2" s="93"/>
      <c r="R2" s="93"/>
    </row>
    <row r="3">
      <c r="B3" s="87" t="s">
        <v>2</v>
      </c>
      <c r="C3" s="88"/>
      <c r="D3" s="89"/>
      <c r="E3" s="120" t="s">
        <v>3</v>
      </c>
      <c r="F3" s="103" t="s">
        <v>4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>
      <c r="B4" s="15" t="s">
        <v>5</v>
      </c>
      <c r="C4" s="16" t="s">
        <v>6</v>
      </c>
      <c r="D4" s="90" t="s">
        <v>7</v>
      </c>
      <c r="E4" s="121"/>
      <c r="F4" s="106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>
      <c r="B5" s="15" t="s">
        <v>8</v>
      </c>
      <c r="C5" s="16" t="s">
        <v>9</v>
      </c>
      <c r="D5" s="91"/>
      <c r="E5" s="121"/>
      <c r="F5" s="123" t="s">
        <v>10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5"/>
    </row>
    <row r="6">
      <c r="B6" s="15" t="s">
        <v>11</v>
      </c>
      <c r="C6" s="16" t="s">
        <v>12</v>
      </c>
      <c r="D6" s="91"/>
      <c r="E6" s="121"/>
      <c r="F6" s="126" t="s">
        <v>13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8"/>
    </row>
    <row r="7">
      <c r="B7" s="17"/>
      <c r="C7" s="18"/>
      <c r="D7" s="92"/>
      <c r="E7" s="122"/>
      <c r="F7" s="19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20</v>
      </c>
      <c r="M7" s="20" t="s">
        <v>21</v>
      </c>
      <c r="N7" s="20" t="s">
        <v>22</v>
      </c>
      <c r="O7" s="20" t="s">
        <v>23</v>
      </c>
      <c r="P7" s="20" t="s">
        <v>24</v>
      </c>
      <c r="Q7" s="20" t="s">
        <v>25</v>
      </c>
      <c r="R7" s="21" t="s">
        <v>26</v>
      </c>
    </row>
    <row r="8" ht="7.5" customHeight="1">
      <c r="B8" s="22"/>
      <c r="C8" s="23"/>
      <c r="D8" s="23"/>
      <c r="E8" s="24"/>
      <c r="F8" s="24"/>
      <c r="G8" s="24"/>
      <c r="H8" s="24"/>
      <c r="I8" s="24"/>
      <c r="J8" s="24"/>
      <c r="K8" s="24"/>
      <c r="L8" s="24"/>
    </row>
    <row r="9" ht="18.75" customHeight="1">
      <c r="B9" s="112" t="s">
        <v>64</v>
      </c>
      <c r="C9" s="80" t="s">
        <v>65</v>
      </c>
      <c r="D9" s="141" t="s">
        <v>29</v>
      </c>
      <c r="E9" s="31">
        <v>197</v>
      </c>
      <c r="F9" s="32">
        <v>10</v>
      </c>
      <c r="G9" s="50">
        <v>25</v>
      </c>
      <c r="H9" s="50">
        <v>15</v>
      </c>
      <c r="I9" s="50">
        <v>7</v>
      </c>
      <c r="J9" s="50">
        <v>6</v>
      </c>
      <c r="K9" s="50">
        <v>5</v>
      </c>
      <c r="L9" s="50">
        <v>13</v>
      </c>
      <c r="M9" s="51">
        <v>16</v>
      </c>
      <c r="N9" s="51">
        <v>25</v>
      </c>
      <c r="O9" s="51">
        <v>30</v>
      </c>
      <c r="P9" s="51">
        <v>30</v>
      </c>
      <c r="Q9" s="51">
        <v>15</v>
      </c>
      <c r="R9" s="31">
        <v>197</v>
      </c>
    </row>
    <row r="10" ht="18.75" customHeight="1">
      <c r="B10" s="113"/>
      <c r="C10" s="81"/>
      <c r="D10" s="142"/>
      <c r="E10" s="34">
        <v>1</v>
      </c>
      <c r="F10" s="35">
        <f>SUM(F9/E9)</f>
        <v>0.050761421319796954</v>
      </c>
      <c r="G10" s="35">
        <f>SUM(G9/E9)</f>
        <v>0.12690355329949238</v>
      </c>
      <c r="H10" s="35">
        <f>SUM(H9/E9)</f>
        <v>0.076142131979695438</v>
      </c>
      <c r="I10" s="35">
        <f>SUM(I9/E9)</f>
        <v>0.03553299492385787</v>
      </c>
      <c r="J10" s="35">
        <f>SUM(J9/E9)</f>
        <v>0.030456852791878174</v>
      </c>
      <c r="K10" s="35">
        <f>SUM(K9/E9)</f>
        <v>0.025380710659898477</v>
      </c>
      <c r="L10" s="35">
        <f>SUM(L9/E9)</f>
        <v>0.065989847715736044</v>
      </c>
      <c r="M10" s="35">
        <f>SUM(M9/E9)</f>
        <v>0.081218274111675121</v>
      </c>
      <c r="N10" s="35">
        <f>SUM(N9/E9)</f>
        <v>0.12690355329949238</v>
      </c>
      <c r="O10" s="35">
        <f>SUM(O9/E9)</f>
        <v>0.15228426395939088</v>
      </c>
      <c r="P10" s="35">
        <f>SUM(P9/E9)</f>
        <v>0.15228426395939088</v>
      </c>
      <c r="Q10" s="35">
        <f>SUM(Q9/E9)</f>
        <v>0.076142131979695438</v>
      </c>
      <c r="R10" s="34">
        <f ref="R10:R14" t="shared" si="0">SUM(F10:Q10)</f>
        <v>1</v>
      </c>
    </row>
    <row r="11" ht="27" customHeight="1">
      <c r="B11" s="113"/>
      <c r="C11" s="81"/>
      <c r="D11" s="142"/>
      <c r="E11" s="109" t="s">
        <v>30</v>
      </c>
      <c r="F11" s="56">
        <v>0</v>
      </c>
      <c r="G11" s="5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7">
        <f>SUM(F11:Q11)</f>
        <v>83</v>
      </c>
      <c r="S11" s="26"/>
    </row>
    <row r="12" ht="60" customHeight="1">
      <c r="B12" s="114"/>
      <c r="C12" s="145"/>
      <c r="D12" s="143"/>
      <c r="E12" s="110"/>
      <c r="F12" s="38">
        <f>+F11/E9</f>
        <v>0.045685279187817257</v>
      </c>
      <c r="G12" s="38">
        <f>+G11/E9</f>
        <v>0.116751269035533</v>
      </c>
      <c r="H12" s="38">
        <f>+H11/E9</f>
        <v>0.1116751269035533</v>
      </c>
      <c r="I12" s="38">
        <f>+I11/E9</f>
        <v>0</v>
      </c>
      <c r="J12" s="38">
        <f>+J11/E9</f>
        <v>0</v>
      </c>
      <c r="K12" s="38">
        <f>+K11/E9</f>
        <v>0.01015228426395939</v>
      </c>
      <c r="L12" s="38">
        <f>+L11/E9</f>
        <v>0.005076142131979695</v>
      </c>
      <c r="M12" s="38">
        <f>+M11/E9</f>
        <v>0.005076142131979695</v>
      </c>
      <c r="N12" s="38">
        <f>+N11/E9</f>
        <v>0.01015228426395939</v>
      </c>
      <c r="O12" s="38">
        <f>+O11/E9</f>
        <v>0.02030456852791878</v>
      </c>
      <c r="P12" s="38">
        <f>+P11/E9</f>
        <v>0.076142131979695438</v>
      </c>
      <c r="Q12" s="38">
        <f>+Q11/E9</f>
        <v>0.02030456852791878</v>
      </c>
      <c r="R12" s="39">
        <f>SUM(F12:Q12)</f>
        <v>0.42131979695431471</v>
      </c>
    </row>
    <row r="13" ht="12.75" customHeight="1">
      <c r="N13" s="78" t="s">
        <v>31</v>
      </c>
      <c r="O13" s="78"/>
      <c r="P13" s="78"/>
      <c r="Q13" s="115">
        <f>+R11/E9</f>
        <v>0.42131979695431471</v>
      </c>
      <c r="R13" s="116">
        <f t="shared" si="0"/>
        <v>0.42131979695431471</v>
      </c>
    </row>
    <row r="14" ht="13.5" customHeight="1">
      <c r="J14" s="40"/>
      <c r="K14" s="40"/>
      <c r="L14" s="40"/>
      <c r="M14" s="40"/>
      <c r="N14" s="119"/>
      <c r="O14" s="119"/>
      <c r="P14" s="119"/>
      <c r="Q14" s="117">
        <f>SUM(E14:P14)</f>
        <v>0</v>
      </c>
      <c r="R14" s="118">
        <f t="shared" si="0"/>
        <v>0</v>
      </c>
    </row>
    <row r="15" ht="9" customHeight="1">
      <c r="D15" s="25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hidden="1" ht="15.75">
      <c r="F16" s="77"/>
      <c r="G16" s="77"/>
      <c r="H16" s="77"/>
      <c r="I16" s="77"/>
      <c r="J16" s="77"/>
      <c r="K16" s="40"/>
      <c r="L16" s="40"/>
      <c r="M16" s="77"/>
      <c r="N16" s="77"/>
      <c r="O16" s="77"/>
      <c r="P16" s="77"/>
      <c r="Q16" s="77"/>
      <c r="R16" s="26"/>
    </row>
    <row r="17" hidden="1" ht="15">
      <c r="F17" s="74"/>
      <c r="G17" s="74"/>
      <c r="H17" s="74"/>
      <c r="I17" s="74"/>
      <c r="J17" s="74"/>
      <c r="K17" s="40"/>
      <c r="L17" s="40"/>
      <c r="M17" s="79"/>
      <c r="N17" s="79"/>
      <c r="O17" s="79"/>
      <c r="P17" s="79"/>
      <c r="Q17" s="79"/>
    </row>
    <row r="18" ht="55.5" customHeight="1">
      <c r="B18" s="71" t="s">
        <v>52</v>
      </c>
      <c r="C18" s="72"/>
      <c r="D18" s="72"/>
      <c r="E18" s="73"/>
      <c r="F18" s="40"/>
      <c r="G18" s="41"/>
      <c r="H18" s="53"/>
      <c r="I18" s="40"/>
      <c r="J18" s="40"/>
      <c r="K18" s="40"/>
      <c r="L18" s="40"/>
      <c r="M18" s="40"/>
      <c r="N18" s="40"/>
      <c r="O18" s="40"/>
      <c r="P18" s="40"/>
      <c r="Q18" s="40"/>
    </row>
    <row r="19">
      <c r="F19" s="40"/>
      <c r="G19" s="40"/>
      <c r="H19" s="40"/>
      <c r="I19" s="144"/>
      <c r="J19" s="144"/>
      <c r="K19" s="144"/>
      <c r="L19" s="144"/>
      <c r="M19" s="144"/>
      <c r="N19" s="144"/>
      <c r="O19" s="144"/>
      <c r="P19" s="144"/>
      <c r="Q19" s="42"/>
    </row>
    <row r="20">
      <c r="C20" s="0" t="s">
        <v>33</v>
      </c>
      <c r="F20" s="40"/>
      <c r="G20" s="40"/>
      <c r="H20" s="40"/>
      <c r="I20" s="52"/>
      <c r="J20" s="52"/>
      <c r="K20" s="52"/>
      <c r="L20" s="52"/>
      <c r="M20" s="52"/>
      <c r="N20" s="52"/>
      <c r="O20" s="52"/>
      <c r="P20" s="52"/>
      <c r="Q20" s="40"/>
    </row>
    <row r="21"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</row>
    <row r="24" ht="15">
      <c r="F24" s="74"/>
      <c r="G24" s="74"/>
      <c r="H24" s="74"/>
      <c r="I24" s="74"/>
      <c r="J24" s="74"/>
      <c r="K24" s="40"/>
      <c r="L24" s="40"/>
      <c r="M24" s="40"/>
      <c r="N24" s="40"/>
      <c r="O24" s="40"/>
      <c r="P24" s="40"/>
      <c r="Q24" s="40"/>
    </row>
    <row r="25" ht="20.25">
      <c r="C25" s="0" t="s">
        <v>33</v>
      </c>
      <c r="F25" s="40"/>
      <c r="G25" s="28"/>
      <c r="H25" s="29"/>
      <c r="I25" s="40"/>
      <c r="J25" s="40"/>
      <c r="K25" s="40"/>
      <c r="L25" s="40"/>
      <c r="M25" s="40"/>
      <c r="N25" s="40"/>
      <c r="O25" s="40"/>
      <c r="P25" s="40"/>
      <c r="Q25" s="40"/>
    </row>
    <row r="26">
      <c r="C26" s="0" t="s">
        <v>33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</sheetData>
  <mergeCells>
    <mergeCell ref="F24:J24"/>
    <mergeCell ref="F16:J16"/>
    <mergeCell ref="M16:Q16"/>
    <mergeCell ref="F17:J17"/>
    <mergeCell ref="M17:Q17"/>
    <mergeCell ref="B18:E18"/>
    <mergeCell ref="I19:P19"/>
    <mergeCell ref="B9:B12"/>
    <mergeCell ref="C9:C12"/>
    <mergeCell ref="D9:D12"/>
    <mergeCell ref="E11:E12"/>
    <mergeCell ref="N13:P14"/>
    <mergeCell ref="Q13:R14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paperSize="9" scale="77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31"/>
  <sheetViews>
    <sheetView zoomScale="90" zoomScaleNormal="90" workbookViewId="0">
      <selection activeCell="T10" sqref="T10"/>
    </sheetView>
  </sheetViews>
  <sheetFormatPr baseColWidth="10" defaultColWidth="9.140625" defaultRowHeight="12.75"/>
  <cols>
    <col min="1" max="1" width="0.7109375" customWidth="1"/>
    <col min="2" max="2" width="21.140625" customWidth="1"/>
    <col min="3" max="3" width="28.140625" customWidth="1"/>
    <col min="4" max="4" width="14" customWidth="1"/>
    <col min="5" max="5" width="10" customWidth="1"/>
    <col min="6" max="6" width="7.5703125" customWidth="1"/>
    <col min="7" max="7" width="8.7109375" customWidth="1"/>
    <col min="8" max="8" width="8.140625" customWidth="1"/>
    <col min="9" max="9" width="8" customWidth="1"/>
    <col min="10" max="11" width="7.5703125" customWidth="1"/>
    <col min="12" max="12" width="7.42578125" customWidth="1"/>
    <col min="13" max="13" width="8" customWidth="1"/>
    <col min="14" max="14" width="11.28515625" customWidth="1"/>
    <col min="15" max="15" width="9.28515625" customWidth="1"/>
    <col min="16" max="16" width="11" customWidth="1"/>
    <col min="17" max="17" width="9.28515625" customWidth="1"/>
    <col min="18" max="18" width="9.7109375" customWidth="1"/>
    <col min="19" max="256" width="11.42578125" customWidth="1"/>
  </cols>
  <sheetData>
    <row r="2" ht="18.75" customHeight="1">
      <c r="B2" s="111" t="s">
        <v>0</v>
      </c>
      <c r="C2" s="111"/>
      <c r="D2" s="111"/>
      <c r="E2" s="111"/>
      <c r="N2" s="93" t="s">
        <v>49</v>
      </c>
      <c r="O2" s="93"/>
      <c r="P2" s="93"/>
      <c r="Q2" s="93"/>
      <c r="R2" s="93"/>
    </row>
    <row r="3">
      <c r="B3" s="87" t="s">
        <v>2</v>
      </c>
      <c r="C3" s="88"/>
      <c r="D3" s="89"/>
      <c r="E3" s="120" t="s">
        <v>3</v>
      </c>
      <c r="F3" s="103" t="s">
        <v>4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>
      <c r="B4" s="15" t="s">
        <v>5</v>
      </c>
      <c r="C4" s="16" t="s">
        <v>6</v>
      </c>
      <c r="D4" s="90" t="s">
        <v>7</v>
      </c>
      <c r="E4" s="121"/>
      <c r="F4" s="106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>
      <c r="B5" s="15" t="s">
        <v>8</v>
      </c>
      <c r="C5" s="16" t="s">
        <v>9</v>
      </c>
      <c r="D5" s="91"/>
      <c r="E5" s="121"/>
      <c r="F5" s="123" t="s">
        <v>10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5"/>
    </row>
    <row r="6">
      <c r="B6" s="15" t="s">
        <v>11</v>
      </c>
      <c r="C6" s="16" t="s">
        <v>12</v>
      </c>
      <c r="D6" s="91"/>
      <c r="E6" s="121"/>
      <c r="F6" s="126" t="s">
        <v>13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8"/>
    </row>
    <row r="7">
      <c r="B7" s="17"/>
      <c r="C7" s="18"/>
      <c r="D7" s="92"/>
      <c r="E7" s="122"/>
      <c r="F7" s="19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20</v>
      </c>
      <c r="M7" s="20" t="s">
        <v>21</v>
      </c>
      <c r="N7" s="20" t="s">
        <v>22</v>
      </c>
      <c r="O7" s="20" t="s">
        <v>23</v>
      </c>
      <c r="P7" s="20" t="s">
        <v>24</v>
      </c>
      <c r="Q7" s="20" t="s">
        <v>25</v>
      </c>
      <c r="R7" s="21" t="s">
        <v>26</v>
      </c>
    </row>
    <row r="8" ht="7.5" customHeight="1">
      <c r="B8" s="22"/>
      <c r="C8" s="23"/>
      <c r="D8" s="23"/>
      <c r="E8" s="24"/>
      <c r="F8" s="24"/>
      <c r="G8" s="24"/>
      <c r="H8" s="24"/>
      <c r="I8" s="24"/>
      <c r="J8" s="24"/>
      <c r="K8" s="24"/>
      <c r="L8" s="24"/>
    </row>
    <row r="9" ht="29.25" customHeight="1">
      <c r="B9" s="112" t="s">
        <v>66</v>
      </c>
      <c r="C9" s="80" t="s">
        <v>67</v>
      </c>
      <c r="D9" s="141" t="s">
        <v>37</v>
      </c>
      <c r="E9" s="31">
        <v>400</v>
      </c>
      <c r="F9" s="63">
        <v>25</v>
      </c>
      <c r="G9" s="64">
        <v>25</v>
      </c>
      <c r="H9" s="64">
        <v>30</v>
      </c>
      <c r="I9" s="64">
        <v>20</v>
      </c>
      <c r="J9" s="64">
        <v>20</v>
      </c>
      <c r="K9" s="64">
        <v>20</v>
      </c>
      <c r="L9" s="64">
        <v>30</v>
      </c>
      <c r="M9" s="65">
        <v>35</v>
      </c>
      <c r="N9" s="65">
        <v>55</v>
      </c>
      <c r="O9" s="65">
        <v>60</v>
      </c>
      <c r="P9" s="65">
        <v>50</v>
      </c>
      <c r="Q9" s="65">
        <v>30</v>
      </c>
      <c r="R9" s="66">
        <v>400</v>
      </c>
    </row>
    <row r="10" ht="30.75" customHeight="1">
      <c r="B10" s="113"/>
      <c r="C10" s="81"/>
      <c r="D10" s="142"/>
      <c r="E10" s="34">
        <v>1</v>
      </c>
      <c r="F10" s="67">
        <f>SUM(F9/E9)</f>
        <v>0.0625</v>
      </c>
      <c r="G10" s="67">
        <f>SUM(G9/E9)</f>
        <v>0.0625</v>
      </c>
      <c r="H10" s="67">
        <f>SUM(H9/E9)</f>
        <v>0.075</v>
      </c>
      <c r="I10" s="67">
        <f>SUM(I9/E9)</f>
        <v>0.05</v>
      </c>
      <c r="J10" s="67">
        <f>SUM(J9/E9)</f>
        <v>0.05</v>
      </c>
      <c r="K10" s="67">
        <f>SUM(K9/E9)</f>
        <v>0.05</v>
      </c>
      <c r="L10" s="67">
        <f>SUM(L9/E9)</f>
        <v>0.075</v>
      </c>
      <c r="M10" s="67">
        <f>SUM(M9/E9)</f>
        <v>0.0875</v>
      </c>
      <c r="N10" s="67">
        <f>SUM(N9/E9)</f>
        <v>0.1375</v>
      </c>
      <c r="O10" s="67">
        <f>SUM(O9/E9)</f>
        <v>0.15</v>
      </c>
      <c r="P10" s="67">
        <f>SUM(P9/E9)</f>
        <v>0.125</v>
      </c>
      <c r="Q10" s="67">
        <f>SUM(Q9/E9)</f>
        <v>0.075</v>
      </c>
      <c r="R10" s="68">
        <f ref="R10:R14" t="shared" si="0">SUM(F10:Q10)</f>
        <v>0.99999999999999989</v>
      </c>
    </row>
    <row r="11" ht="26.25" customHeight="1">
      <c r="B11" s="113"/>
      <c r="C11" s="81"/>
      <c r="D11" s="142"/>
      <c r="E11" s="109" t="s">
        <v>30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62">
        <f>SUM(F11:Q11)</f>
        <v>150</v>
      </c>
      <c r="S11" s="26"/>
    </row>
    <row r="12" ht="30" customHeight="1">
      <c r="B12" s="114"/>
      <c r="C12" s="145"/>
      <c r="D12" s="143"/>
      <c r="E12" s="110"/>
      <c r="F12" s="60">
        <f>+F11/E9</f>
        <v>0.0675</v>
      </c>
      <c r="G12" s="60">
        <f>+G11/E9</f>
        <v>0.1275</v>
      </c>
      <c r="H12" s="60">
        <f>+H11/E9</f>
        <v>0.0525</v>
      </c>
      <c r="I12" s="60">
        <f>+I11/E9</f>
        <v>0</v>
      </c>
      <c r="J12" s="60">
        <f>+J11/E9</f>
        <v>0.0025</v>
      </c>
      <c r="K12" s="60">
        <f>+K11/E9</f>
        <v>0.0075</v>
      </c>
      <c r="L12" s="60">
        <f>+L11/E9</f>
        <v>0</v>
      </c>
      <c r="M12" s="60">
        <f>+M11/E9</f>
        <v>0</v>
      </c>
      <c r="N12" s="60">
        <f>+N11/E9</f>
        <v>0.0075</v>
      </c>
      <c r="O12" s="60">
        <f>+O11/E9</f>
        <v>0.0425</v>
      </c>
      <c r="P12" s="60">
        <f>+P11/E9</f>
        <v>0.0575</v>
      </c>
      <c r="Q12" s="60">
        <f>+Q11/E9</f>
        <v>0.01</v>
      </c>
      <c r="R12" s="61">
        <f>SUM(F12:Q12)</f>
        <v>0.375</v>
      </c>
    </row>
    <row r="13" ht="12.75" customHeight="1">
      <c r="N13" s="78" t="s">
        <v>31</v>
      </c>
      <c r="O13" s="78"/>
      <c r="P13" s="78"/>
      <c r="Q13" s="115">
        <f>+R11/E9</f>
        <v>0.375</v>
      </c>
      <c r="R13" s="116">
        <f t="shared" si="0"/>
        <v>0.375</v>
      </c>
    </row>
    <row r="14" ht="13.5" customHeight="1">
      <c r="J14" s="40"/>
      <c r="K14" s="40"/>
      <c r="L14" s="40"/>
      <c r="M14" s="40"/>
      <c r="N14" s="119"/>
      <c r="O14" s="119"/>
      <c r="P14" s="119"/>
      <c r="Q14" s="117">
        <f>SUM(E14:P14)</f>
        <v>0</v>
      </c>
      <c r="R14" s="118">
        <f t="shared" si="0"/>
        <v>0</v>
      </c>
    </row>
    <row r="15" ht="9" customHeight="1">
      <c r="D15" s="25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hidden="1" ht="15.75">
      <c r="F16" s="77"/>
      <c r="G16" s="77"/>
      <c r="H16" s="77"/>
      <c r="I16" s="77"/>
      <c r="J16" s="77"/>
      <c r="K16" s="40"/>
      <c r="L16" s="40"/>
      <c r="M16" s="77"/>
      <c r="N16" s="77"/>
      <c r="O16" s="77"/>
      <c r="P16" s="77"/>
      <c r="Q16" s="77"/>
      <c r="R16" s="26"/>
    </row>
    <row r="17" hidden="1" ht="15">
      <c r="F17" s="74"/>
      <c r="G17" s="74"/>
      <c r="H17" s="74"/>
      <c r="I17" s="74"/>
      <c r="J17" s="74"/>
      <c r="K17" s="40"/>
      <c r="L17" s="40"/>
      <c r="M17" s="79"/>
      <c r="N17" s="79"/>
      <c r="O17" s="79"/>
      <c r="P17" s="79"/>
      <c r="Q17" s="79"/>
    </row>
    <row r="18" ht="52.5" customHeight="1">
      <c r="B18" s="71" t="s">
        <v>52</v>
      </c>
      <c r="C18" s="72"/>
      <c r="D18" s="72"/>
      <c r="E18" s="73"/>
      <c r="F18" s="40"/>
      <c r="G18" s="41"/>
      <c r="H18" s="53"/>
      <c r="I18" s="40"/>
      <c r="J18" s="40"/>
      <c r="K18" s="40"/>
      <c r="L18" s="40"/>
      <c r="M18" s="40"/>
      <c r="N18" s="40"/>
      <c r="O18" s="40"/>
      <c r="P18" s="40"/>
      <c r="Q18" s="40"/>
    </row>
    <row r="19">
      <c r="F19" s="40"/>
      <c r="G19" s="40"/>
      <c r="H19" s="40"/>
      <c r="I19" s="144"/>
      <c r="J19" s="144"/>
      <c r="K19" s="144"/>
      <c r="L19" s="144"/>
      <c r="M19" s="144"/>
      <c r="N19" s="144"/>
      <c r="O19" s="144"/>
      <c r="P19" s="144"/>
      <c r="Q19" s="42"/>
    </row>
    <row r="20">
      <c r="F20" s="40"/>
      <c r="G20" s="40"/>
      <c r="H20" s="40"/>
      <c r="I20" s="149"/>
      <c r="J20" s="149"/>
      <c r="K20" s="149"/>
      <c r="L20" s="149"/>
      <c r="M20" s="149"/>
      <c r="N20" s="149"/>
      <c r="O20" s="149"/>
      <c r="P20" s="149"/>
      <c r="Q20" s="40"/>
    </row>
    <row r="21">
      <c r="F21" s="40"/>
      <c r="G21" s="40"/>
      <c r="H21" s="40"/>
      <c r="I21" s="144"/>
      <c r="J21" s="144"/>
      <c r="K21" s="144"/>
      <c r="L21" s="144"/>
      <c r="M21" s="144"/>
      <c r="N21" s="144"/>
      <c r="O21" s="144"/>
      <c r="P21" s="144"/>
      <c r="Q21" s="40"/>
    </row>
    <row r="22">
      <c r="C22" s="0" t="s">
        <v>48</v>
      </c>
      <c r="F22" s="40"/>
      <c r="G22" s="40"/>
      <c r="H22" s="40"/>
      <c r="I22" s="52"/>
      <c r="J22" s="52"/>
      <c r="K22" s="52"/>
      <c r="L22" s="52"/>
      <c r="M22" s="52"/>
      <c r="N22" s="52"/>
      <c r="O22" s="52"/>
      <c r="P22" s="52"/>
      <c r="Q22" s="40"/>
    </row>
    <row r="23"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</row>
    <row r="24"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</row>
    <row r="25"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 ht="15">
      <c r="F26" s="74"/>
      <c r="G26" s="74"/>
      <c r="H26" s="74"/>
      <c r="I26" s="74"/>
      <c r="J26" s="74"/>
      <c r="K26" s="40"/>
      <c r="L26" s="40"/>
      <c r="M26" s="40"/>
      <c r="N26" s="40"/>
      <c r="O26" s="40"/>
      <c r="P26" s="40"/>
      <c r="Q26" s="40"/>
    </row>
    <row r="27" ht="20.25">
      <c r="C27" s="0" t="s">
        <v>33</v>
      </c>
      <c r="F27" s="40"/>
      <c r="G27" s="28"/>
      <c r="H27" s="29"/>
      <c r="I27" s="40"/>
      <c r="J27" s="40"/>
      <c r="K27" s="40"/>
      <c r="L27" s="40"/>
      <c r="M27" s="40"/>
      <c r="N27" s="40"/>
      <c r="O27" s="40"/>
      <c r="P27" s="40"/>
      <c r="Q27" s="40"/>
    </row>
    <row r="28">
      <c r="C28" s="0" t="s">
        <v>33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  <row r="30"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</row>
  </sheetData>
  <mergeCells>
    <mergeCell ref="I20:P20"/>
    <mergeCell ref="I21:P21"/>
    <mergeCell ref="F26:J26"/>
    <mergeCell ref="F16:J16"/>
    <mergeCell ref="M16:Q16"/>
    <mergeCell ref="F17:J17"/>
    <mergeCell ref="M17:Q17"/>
    <mergeCell ref="B18:E18"/>
    <mergeCell ref="I19:P19"/>
    <mergeCell ref="B9:B12"/>
    <mergeCell ref="C9:C12"/>
    <mergeCell ref="D9:D12"/>
    <mergeCell ref="E11:E12"/>
    <mergeCell ref="N13:P14"/>
    <mergeCell ref="Q13:R14"/>
    <mergeCell ref="B2:E2"/>
    <mergeCell ref="B3:D3"/>
    <mergeCell ref="E3:E7"/>
    <mergeCell ref="F3:R4"/>
    <mergeCell ref="D4:D7"/>
    <mergeCell ref="F5:R5"/>
    <mergeCell ref="F6:R6"/>
    <mergeCell ref="N2:R2"/>
  </mergeCells>
  <pageMargins left="0.25" right="0.25" top="0.75" bottom="0.75" header="0.3" footer="0.3"/>
  <pageSetup paperSize="9" scale="77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"/>
  <sheetViews>
    <sheetView zoomScale="80" zoomScaleNormal="80" workbookViewId="0">
      <selection activeCell="T10" sqref="T10"/>
    </sheetView>
  </sheetViews>
  <sheetFormatPr baseColWidth="10" defaultRowHeight="12.75"/>
  <cols>
    <col min="1" max="1" width="26" customWidth="1"/>
    <col min="2" max="2" width="28.140625" customWidth="1"/>
    <col min="3" max="3" width="13.7109375" customWidth="1"/>
  </cols>
  <sheetData>
    <row r="1" ht="18">
      <c r="A1" s="111" t="s">
        <v>0</v>
      </c>
      <c r="B1" s="111"/>
      <c r="C1" s="111"/>
      <c r="D1" s="111"/>
      <c r="N1" s="93" t="s">
        <v>49</v>
      </c>
      <c r="O1" s="93"/>
      <c r="P1" s="93"/>
      <c r="Q1" s="93"/>
    </row>
    <row r="2">
      <c r="A2" s="87" t="s">
        <v>2</v>
      </c>
      <c r="B2" s="88"/>
      <c r="C2" s="89"/>
      <c r="D2" s="120" t="s">
        <v>3</v>
      </c>
      <c r="E2" s="103" t="s">
        <v>4</v>
      </c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5"/>
    </row>
    <row r="3">
      <c r="A3" s="15" t="s">
        <v>5</v>
      </c>
      <c r="B3" s="16" t="s">
        <v>6</v>
      </c>
      <c r="C3" s="90" t="s">
        <v>7</v>
      </c>
      <c r="D3" s="121"/>
      <c r="E3" s="106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8"/>
    </row>
    <row r="4">
      <c r="A4" s="15" t="s">
        <v>8</v>
      </c>
      <c r="B4" s="16" t="s">
        <v>9</v>
      </c>
      <c r="C4" s="91"/>
      <c r="D4" s="121"/>
      <c r="E4" s="123" t="s">
        <v>10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5"/>
    </row>
    <row r="5">
      <c r="A5" s="15" t="s">
        <v>11</v>
      </c>
      <c r="B5" s="16" t="s">
        <v>12</v>
      </c>
      <c r="C5" s="91"/>
      <c r="D5" s="121"/>
      <c r="E5" s="126" t="s">
        <v>13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8"/>
    </row>
    <row r="6">
      <c r="A6" s="17"/>
      <c r="B6" s="18"/>
      <c r="C6" s="92"/>
      <c r="D6" s="122"/>
      <c r="E6" s="19" t="s">
        <v>14</v>
      </c>
      <c r="F6" s="20" t="s">
        <v>15</v>
      </c>
      <c r="G6" s="20" t="s">
        <v>16</v>
      </c>
      <c r="H6" s="20" t="s">
        <v>17</v>
      </c>
      <c r="I6" s="20" t="s">
        <v>18</v>
      </c>
      <c r="J6" s="20" t="s">
        <v>19</v>
      </c>
      <c r="K6" s="20" t="s">
        <v>20</v>
      </c>
      <c r="L6" s="20" t="s">
        <v>21</v>
      </c>
      <c r="M6" s="20" t="s">
        <v>22</v>
      </c>
      <c r="N6" s="20" t="s">
        <v>23</v>
      </c>
      <c r="O6" s="20" t="s">
        <v>24</v>
      </c>
      <c r="P6" s="20" t="s">
        <v>25</v>
      </c>
      <c r="Q6" s="21" t="s">
        <v>26</v>
      </c>
    </row>
    <row r="7">
      <c r="A7" s="22"/>
      <c r="B7" s="23"/>
      <c r="C7" s="23"/>
      <c r="D7" s="24"/>
      <c r="E7" s="24"/>
      <c r="F7" s="24"/>
      <c r="G7" s="24"/>
      <c r="H7" s="24"/>
      <c r="I7" s="24"/>
      <c r="J7" s="24"/>
      <c r="K7" s="24"/>
    </row>
    <row r="8" ht="26.25" customHeight="1">
      <c r="A8" s="112" t="s">
        <v>50</v>
      </c>
      <c r="B8" s="80" t="s">
        <v>51</v>
      </c>
      <c r="C8" s="141" t="s">
        <v>37</v>
      </c>
      <c r="D8" s="66">
        <v>141</v>
      </c>
      <c r="E8" s="63">
        <v>13</v>
      </c>
      <c r="F8" s="64">
        <v>10</v>
      </c>
      <c r="G8" s="64">
        <v>12</v>
      </c>
      <c r="H8" s="64">
        <v>7</v>
      </c>
      <c r="I8" s="64">
        <v>7</v>
      </c>
      <c r="J8" s="64">
        <v>7</v>
      </c>
      <c r="K8" s="64">
        <v>15</v>
      </c>
      <c r="L8" s="65">
        <v>12</v>
      </c>
      <c r="M8" s="65">
        <v>18</v>
      </c>
      <c r="N8" s="65">
        <v>18</v>
      </c>
      <c r="O8" s="65">
        <v>17</v>
      </c>
      <c r="P8" s="65">
        <v>5</v>
      </c>
      <c r="Q8" s="66">
        <v>141</v>
      </c>
    </row>
    <row r="9" ht="23.25" customHeight="1">
      <c r="A9" s="113"/>
      <c r="B9" s="81"/>
      <c r="C9" s="142"/>
      <c r="D9" s="68">
        <v>1</v>
      </c>
      <c r="E9" s="67">
        <f>SUM(E8/D8)</f>
        <v>0.092198581560283682</v>
      </c>
      <c r="F9" s="67">
        <f>SUM(F8/D8)</f>
        <v>0.070921985815602842</v>
      </c>
      <c r="G9" s="67">
        <f>SUM(G8/D8)</f>
        <v>0.0851063829787234</v>
      </c>
      <c r="H9" s="67">
        <f>SUM(H8/D8)</f>
        <v>0.049645390070921988</v>
      </c>
      <c r="I9" s="67">
        <f>SUM(I8/D8)</f>
        <v>0.049645390070921988</v>
      </c>
      <c r="J9" s="67">
        <f>SUM(J8/D8)</f>
        <v>0.049645390070921988</v>
      </c>
      <c r="K9" s="67">
        <f>SUM(K8/D8)</f>
        <v>0.10638297872340426</v>
      </c>
      <c r="L9" s="67">
        <f>SUM(L8/D8)</f>
        <v>0.0851063829787234</v>
      </c>
      <c r="M9" s="67">
        <f>SUM(M8/D8)</f>
        <v>0.1276595744680851</v>
      </c>
      <c r="N9" s="67">
        <f>SUM(N8/D8)</f>
        <v>0.1276595744680851</v>
      </c>
      <c r="O9" s="67">
        <f>SUM(O8/D8)</f>
        <v>0.12056737588652482</v>
      </c>
      <c r="P9" s="67">
        <f>SUM(P8/D8)</f>
        <v>0.035460992907801421</v>
      </c>
      <c r="Q9" s="68">
        <f ref="Q9:Q13" t="shared" si="0">SUM(E9:P9)</f>
        <v>1</v>
      </c>
    </row>
    <row r="10" ht="26.25" customHeight="1">
      <c r="A10" s="113"/>
      <c r="B10" s="81"/>
      <c r="C10" s="142"/>
      <c r="D10" s="109" t="s">
        <v>30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62">
        <f>SUM(E10:P10)</f>
        <v>58</v>
      </c>
    </row>
    <row r="11" ht="27.75" customHeight="1">
      <c r="A11" s="114"/>
      <c r="B11" s="145"/>
      <c r="C11" s="143"/>
      <c r="D11" s="110"/>
      <c r="E11" s="60">
        <f>+E10/D8</f>
        <v>0.078014184397163122</v>
      </c>
      <c r="F11" s="60">
        <f>+F10/D8</f>
        <v>0.056737588652482268</v>
      </c>
      <c r="G11" s="60">
        <f>+G10/D8</f>
        <v>0.014184397163120567</v>
      </c>
      <c r="H11" s="60">
        <f>+H10/D8</f>
        <v>0</v>
      </c>
      <c r="I11" s="60">
        <f>+I10/D8</f>
        <v>0</v>
      </c>
      <c r="J11" s="60">
        <f>+J10/D8</f>
        <v>0.028368794326241134</v>
      </c>
      <c r="K11" s="60">
        <f>+K10/D8</f>
        <v>0.014184397163120567</v>
      </c>
      <c r="L11" s="60">
        <f>+L10/D8</f>
        <v>0.070921985815602842</v>
      </c>
      <c r="M11" s="60">
        <f>+M10/D8</f>
        <v>0.0425531914893617</v>
      </c>
      <c r="N11" s="60">
        <f>+N10/D8</f>
        <v>0.063829787234042548</v>
      </c>
      <c r="O11" s="60">
        <f>+O10/D8</f>
        <v>0.021276595744680851</v>
      </c>
      <c r="P11" s="60">
        <f>+P10/D8</f>
        <v>0.021276595744680851</v>
      </c>
      <c r="Q11" s="61">
        <f>SUM(E11:P11)</f>
        <v>0.41134751773049638</v>
      </c>
    </row>
    <row r="12">
      <c r="M12" s="78" t="s">
        <v>31</v>
      </c>
      <c r="N12" s="78"/>
      <c r="O12" s="78"/>
      <c r="P12" s="115">
        <f>+Q10/D8</f>
        <v>0.41134751773049644</v>
      </c>
      <c r="Q12" s="116">
        <f t="shared" si="0"/>
        <v>0.41134751773049644</v>
      </c>
    </row>
    <row r="13">
      <c r="I13" s="40"/>
      <c r="J13" s="40"/>
      <c r="K13" s="40"/>
      <c r="L13" s="40"/>
      <c r="M13" s="119"/>
      <c r="N13" s="119"/>
      <c r="O13" s="119"/>
      <c r="P13" s="117">
        <f>SUM(D13:O13)</f>
        <v>0</v>
      </c>
      <c r="Q13" s="118">
        <f t="shared" si="0"/>
        <v>0</v>
      </c>
    </row>
    <row r="14">
      <c r="C14" s="25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ht="15.75">
      <c r="E15" s="77"/>
      <c r="F15" s="77"/>
      <c r="G15" s="77"/>
      <c r="H15" s="77"/>
      <c r="I15" s="77"/>
      <c r="J15" s="40"/>
      <c r="K15" s="40"/>
      <c r="L15" s="77"/>
      <c r="M15" s="77"/>
      <c r="N15" s="77"/>
      <c r="O15" s="77"/>
      <c r="P15" s="77"/>
      <c r="Q15" s="26"/>
    </row>
    <row r="16" ht="15">
      <c r="E16" s="74"/>
      <c r="F16" s="74"/>
      <c r="G16" s="74"/>
      <c r="H16" s="74"/>
      <c r="I16" s="74"/>
      <c r="J16" s="40"/>
      <c r="K16" s="40"/>
      <c r="L16" s="79"/>
      <c r="M16" s="79"/>
      <c r="N16" s="79"/>
      <c r="O16" s="79"/>
      <c r="P16" s="79"/>
    </row>
    <row r="17" ht="57.75" customHeight="1">
      <c r="A17" s="71" t="s">
        <v>52</v>
      </c>
      <c r="B17" s="72"/>
      <c r="C17" s="72"/>
      <c r="D17" s="73"/>
      <c r="E17" s="40"/>
      <c r="F17" s="41"/>
      <c r="G17" s="53"/>
      <c r="H17" s="40"/>
      <c r="I17" s="40"/>
      <c r="J17" s="40"/>
      <c r="K17" s="40"/>
      <c r="L17" s="40"/>
      <c r="M17" s="40"/>
      <c r="N17" s="40"/>
      <c r="O17" s="40"/>
      <c r="P17" s="40"/>
    </row>
  </sheetData>
  <mergeCells>
    <mergeCell ref="P12:Q13"/>
    <mergeCell ref="A1:D1"/>
    <mergeCell ref="N1:Q1"/>
    <mergeCell ref="A2:C2"/>
    <mergeCell ref="D2:D6"/>
    <mergeCell ref="E2:Q3"/>
    <mergeCell ref="C3:C6"/>
    <mergeCell ref="E4:Q4"/>
    <mergeCell ref="E5:Q5"/>
    <mergeCell ref="A8:A11"/>
    <mergeCell ref="B8:B11"/>
    <mergeCell ref="C8:C11"/>
    <mergeCell ref="D10:D11"/>
    <mergeCell ref="M12:O13"/>
    <mergeCell ref="E15:I15"/>
    <mergeCell ref="L15:P15"/>
    <mergeCell ref="E16:I16"/>
    <mergeCell ref="L16:P16"/>
    <mergeCell ref="A17:D17"/>
  </mergeCells>
  <pageMargins left="0.25" right="0.25" top="0.75" bottom="0.75" header="0.3" footer="0.3"/>
  <pageSetup paperSize="9" scale="63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8"/>
  <sheetViews>
    <sheetView tabSelected="1" zoomScale="90" zoomScaleNormal="90" workbookViewId="0">
      <selection activeCell="Q8" sqref="Q8"/>
    </sheetView>
  </sheetViews>
  <sheetFormatPr baseColWidth="10" defaultRowHeight="12.75"/>
  <cols>
    <col min="1" max="1" width="23.85546875" customWidth="1"/>
    <col min="2" max="2" width="43.28515625" customWidth="1"/>
    <col min="3" max="3" width="14" customWidth="1"/>
    <col min="5" max="5" width="8.85546875" customWidth="1"/>
    <col min="6" max="6" width="9.42578125" customWidth="1"/>
    <col min="7" max="7" width="9.140625" customWidth="1"/>
    <col min="8" max="9" width="8.42578125" customWidth="1"/>
    <col min="10" max="10" width="8.5703125" customWidth="1"/>
    <col min="11" max="11" width="8.7109375" customWidth="1"/>
    <col min="12" max="12" width="8.5703125" customWidth="1"/>
    <col min="14" max="14" width="10.140625" customWidth="1"/>
    <col min="15" max="15" width="11" customWidth="1"/>
  </cols>
  <sheetData>
    <row r="1" ht="18">
      <c r="A1" s="111" t="s">
        <v>0</v>
      </c>
      <c r="B1" s="111"/>
      <c r="C1" s="111"/>
      <c r="D1" s="111"/>
      <c r="N1" s="93" t="s">
        <v>49</v>
      </c>
      <c r="O1" s="93"/>
      <c r="P1" s="93"/>
      <c r="Q1" s="93"/>
    </row>
    <row r="2">
      <c r="A2" s="87" t="s">
        <v>2</v>
      </c>
      <c r="B2" s="88"/>
      <c r="C2" s="89"/>
      <c r="D2" s="120" t="s">
        <v>3</v>
      </c>
      <c r="E2" s="103" t="s">
        <v>4</v>
      </c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5"/>
    </row>
    <row r="3">
      <c r="A3" s="15" t="s">
        <v>5</v>
      </c>
      <c r="B3" s="16" t="s">
        <v>6</v>
      </c>
      <c r="C3" s="90" t="s">
        <v>7</v>
      </c>
      <c r="D3" s="121"/>
      <c r="E3" s="106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8"/>
    </row>
    <row r="4">
      <c r="A4" s="15" t="s">
        <v>8</v>
      </c>
      <c r="B4" s="16" t="s">
        <v>9</v>
      </c>
      <c r="C4" s="91"/>
      <c r="D4" s="121"/>
      <c r="E4" s="123" t="s">
        <v>10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5"/>
    </row>
    <row r="5">
      <c r="A5" s="15" t="s">
        <v>11</v>
      </c>
      <c r="B5" s="16" t="s">
        <v>12</v>
      </c>
      <c r="C5" s="91"/>
      <c r="D5" s="121"/>
      <c r="E5" s="126" t="s">
        <v>13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8"/>
    </row>
    <row r="6">
      <c r="A6" s="17"/>
      <c r="B6" s="18"/>
      <c r="C6" s="92"/>
      <c r="D6" s="122"/>
      <c r="E6" s="19" t="s">
        <v>14</v>
      </c>
      <c r="F6" s="20" t="s">
        <v>15</v>
      </c>
      <c r="G6" s="20" t="s">
        <v>16</v>
      </c>
      <c r="H6" s="20" t="s">
        <v>17</v>
      </c>
      <c r="I6" s="20" t="s">
        <v>18</v>
      </c>
      <c r="J6" s="20" t="s">
        <v>19</v>
      </c>
      <c r="K6" s="20" t="s">
        <v>20</v>
      </c>
      <c r="L6" s="20" t="s">
        <v>21</v>
      </c>
      <c r="M6" s="20" t="s">
        <v>22</v>
      </c>
      <c r="N6" s="20" t="s">
        <v>23</v>
      </c>
      <c r="O6" s="20" t="s">
        <v>24</v>
      </c>
      <c r="P6" s="20" t="s">
        <v>25</v>
      </c>
      <c r="Q6" s="21" t="s">
        <v>26</v>
      </c>
    </row>
    <row r="7">
      <c r="A7" s="58"/>
      <c r="B7" s="59"/>
      <c r="C7" s="23"/>
      <c r="D7" s="24"/>
      <c r="E7" s="24"/>
      <c r="F7" s="24"/>
      <c r="G7" s="24"/>
      <c r="H7" s="24"/>
      <c r="I7" s="24"/>
      <c r="J7" s="24"/>
      <c r="K7" s="24"/>
    </row>
    <row r="8" ht="24.75" customHeight="1">
      <c r="A8" s="152" t="s">
        <v>59</v>
      </c>
      <c r="B8" s="152" t="s">
        <v>60</v>
      </c>
      <c r="C8" s="141" t="s">
        <v>37</v>
      </c>
      <c r="D8" s="66">
        <v>87</v>
      </c>
      <c r="E8" s="63">
        <v>6</v>
      </c>
      <c r="F8" s="64">
        <v>8</v>
      </c>
      <c r="G8" s="64">
        <v>8</v>
      </c>
      <c r="H8" s="64">
        <v>5</v>
      </c>
      <c r="I8" s="64">
        <v>5</v>
      </c>
      <c r="J8" s="64">
        <v>5</v>
      </c>
      <c r="K8" s="64">
        <v>5</v>
      </c>
      <c r="L8" s="65">
        <v>5</v>
      </c>
      <c r="M8" s="65">
        <v>8</v>
      </c>
      <c r="N8" s="65">
        <v>14</v>
      </c>
      <c r="O8" s="65">
        <v>15</v>
      </c>
      <c r="P8" s="65">
        <v>3</v>
      </c>
      <c r="Q8" s="66">
        <v>87</v>
      </c>
    </row>
    <row r="9" ht="23.25" customHeight="1">
      <c r="A9" s="152"/>
      <c r="B9" s="152"/>
      <c r="C9" s="142"/>
      <c r="D9" s="68">
        <v>1</v>
      </c>
      <c r="E9" s="67">
        <f>SUM(E8/D8)</f>
        <v>0.068965517241379309</v>
      </c>
      <c r="F9" s="67">
        <f>SUM(F8/D8)</f>
        <v>0.091954022988505746</v>
      </c>
      <c r="G9" s="67">
        <f>SUM(G8/D8)</f>
        <v>0.091954022988505746</v>
      </c>
      <c r="H9" s="67">
        <f>SUM(H8/D8)</f>
        <v>0.057471264367816091</v>
      </c>
      <c r="I9" s="67">
        <f>SUM(I8/D8)</f>
        <v>0.057471264367816091</v>
      </c>
      <c r="J9" s="67">
        <f>SUM(J8/D8)</f>
        <v>0.057471264367816091</v>
      </c>
      <c r="K9" s="67">
        <f>SUM(K8/D8)</f>
        <v>0.057471264367816091</v>
      </c>
      <c r="L9" s="67">
        <f>SUM(L8/D8)</f>
        <v>0.057471264367816091</v>
      </c>
      <c r="M9" s="67">
        <f>SUM(M8/D8)</f>
        <v>0.091954022988505746</v>
      </c>
      <c r="N9" s="67">
        <f>SUM(N8/D8)</f>
        <v>0.16091954022988506</v>
      </c>
      <c r="O9" s="67">
        <f>SUM(O8/D8)</f>
        <v>0.17241379310344829</v>
      </c>
      <c r="P9" s="67">
        <f>SUM(P8/D8)</f>
        <v>0.034482758620689655</v>
      </c>
      <c r="Q9" s="68">
        <f ref="Q9:Q13" t="shared" si="0">SUM(E9:P9)</f>
        <v>1</v>
      </c>
    </row>
    <row r="10" ht="22.5" customHeight="1">
      <c r="A10" s="152"/>
      <c r="B10" s="152"/>
      <c r="C10" s="142"/>
      <c r="D10" s="109" t="s">
        <v>30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62">
        <f>SUM(E10:P10)</f>
        <v>0</v>
      </c>
    </row>
    <row r="11" ht="30.75" customHeight="1">
      <c r="A11" s="152"/>
      <c r="B11" s="152"/>
      <c r="C11" s="143"/>
      <c r="D11" s="110"/>
      <c r="E11" s="60">
        <f>+E10/D8</f>
        <v>0</v>
      </c>
      <c r="F11" s="60">
        <f>+F10/D8</f>
        <v>0</v>
      </c>
      <c r="G11" s="60">
        <f>+G10/D8</f>
        <v>0</v>
      </c>
      <c r="H11" s="60">
        <f>+H10/D8</f>
        <v>0</v>
      </c>
      <c r="I11" s="60">
        <f>+I10/D8</f>
        <v>0</v>
      </c>
      <c r="J11" s="60">
        <f>+J10/D8</f>
        <v>0</v>
      </c>
      <c r="K11" s="60">
        <f>+K10/D8</f>
        <v>0</v>
      </c>
      <c r="L11" s="60">
        <f>+L10/D8</f>
        <v>0</v>
      </c>
      <c r="M11" s="60">
        <f>+M10/D8</f>
        <v>0</v>
      </c>
      <c r="N11" s="60">
        <f>+N10/D8</f>
        <v>0</v>
      </c>
      <c r="O11" s="60">
        <f>+O10/D8</f>
        <v>0</v>
      </c>
      <c r="P11" s="60">
        <f>+P10/D8</f>
        <v>0</v>
      </c>
      <c r="Q11" s="61">
        <f>SUM(E11:P11)</f>
        <v>0</v>
      </c>
    </row>
    <row r="12">
      <c r="M12" s="78" t="s">
        <v>31</v>
      </c>
      <c r="N12" s="78"/>
      <c r="O12" s="78"/>
      <c r="P12" s="115">
        <f>+Q10/D8</f>
        <v>0</v>
      </c>
      <c r="Q12" s="116">
        <f t="shared" si="0"/>
        <v>0</v>
      </c>
    </row>
    <row r="13">
      <c r="I13" s="40"/>
      <c r="J13" s="40"/>
      <c r="K13" s="40"/>
      <c r="L13" s="40"/>
      <c r="M13" s="119"/>
      <c r="N13" s="119"/>
      <c r="O13" s="119"/>
      <c r="P13" s="117">
        <f>SUM(D13:O13)</f>
        <v>0</v>
      </c>
      <c r="Q13" s="118">
        <f t="shared" si="0"/>
        <v>0</v>
      </c>
    </row>
    <row r="14">
      <c r="C14" s="25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ht="15.75">
      <c r="E15" s="77"/>
      <c r="F15" s="77"/>
      <c r="G15" s="77"/>
      <c r="H15" s="77"/>
      <c r="I15" s="77"/>
      <c r="J15" s="40"/>
      <c r="K15" s="40"/>
      <c r="L15" s="77"/>
      <c r="M15" s="77"/>
      <c r="N15" s="77"/>
      <c r="O15" s="77"/>
      <c r="P15" s="77"/>
      <c r="Q15" s="26"/>
    </row>
    <row r="16" ht="15">
      <c r="E16" s="74"/>
      <c r="F16" s="74"/>
      <c r="G16" s="74"/>
      <c r="H16" s="74"/>
      <c r="I16" s="74"/>
      <c r="J16" s="40"/>
      <c r="K16" s="40"/>
      <c r="L16" s="79"/>
      <c r="M16" s="79"/>
      <c r="N16" s="79"/>
      <c r="O16" s="79"/>
      <c r="P16" s="79"/>
    </row>
    <row r="17" ht="33.75" customHeight="1">
      <c r="A17" s="71" t="s">
        <v>52</v>
      </c>
      <c r="B17" s="72"/>
      <c r="C17" s="72"/>
      <c r="D17" s="73"/>
      <c r="E17" s="40"/>
      <c r="F17" s="41"/>
      <c r="G17" s="53"/>
      <c r="H17" s="40"/>
      <c r="I17" s="40"/>
      <c r="J17" s="150" t="s">
        <v>61</v>
      </c>
      <c r="K17" s="150"/>
      <c r="L17" s="150"/>
      <c r="M17" s="150"/>
      <c r="N17" s="150"/>
      <c r="O17" s="150"/>
      <c r="P17" s="150"/>
      <c r="Q17" s="150"/>
    </row>
    <row r="18" ht="18" customHeight="1">
      <c r="J18" s="151" t="s">
        <v>62</v>
      </c>
      <c r="K18" s="151"/>
      <c r="L18" s="151"/>
      <c r="M18" s="151"/>
      <c r="N18" s="151"/>
      <c r="O18" s="151"/>
      <c r="P18" s="151"/>
      <c r="Q18" s="151"/>
    </row>
  </sheetData>
  <mergeCells>
    <mergeCell ref="J18:Q18"/>
    <mergeCell ref="P12:Q13"/>
    <mergeCell ref="A1:D1"/>
    <mergeCell ref="N1:Q1"/>
    <mergeCell ref="A2:C2"/>
    <mergeCell ref="D2:D6"/>
    <mergeCell ref="E2:Q3"/>
    <mergeCell ref="C3:C6"/>
    <mergeCell ref="E4:Q4"/>
    <mergeCell ref="E5:Q5"/>
    <mergeCell ref="A8:A11"/>
    <mergeCell ref="B8:B11"/>
    <mergeCell ref="C8:C11"/>
    <mergeCell ref="D10:D11"/>
    <mergeCell ref="M12:O13"/>
    <mergeCell ref="E15:I15"/>
    <mergeCell ref="L15:P15"/>
    <mergeCell ref="E16:I16"/>
    <mergeCell ref="L16:P16"/>
    <mergeCell ref="A17:D17"/>
    <mergeCell ref="J17:Q17"/>
  </mergeCells>
  <pageMargins left="0.25" right="0.25" top="0.75" bottom="0.75" header="0.3" footer="0.3"/>
  <pageSetup paperSize="9" scale="6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indicador 1</vt:lpstr>
      <vt:lpstr>indicador 2</vt:lpstr>
      <vt:lpstr>indicador 3</vt:lpstr>
      <vt:lpstr>indicador 4</vt:lpstr>
      <vt:lpstr>indicador 5</vt:lpstr>
      <vt:lpstr>indicador 6</vt:lpstr>
      <vt:lpstr>indicador 7</vt:lpstr>
      <vt:lpstr>indicador 8</vt:lpstr>
      <vt:lpstr>indicador 9</vt:lpstr>
      <vt:lpstr>indicador 10</vt:lpstr>
      <vt:lpstr>'indicador 1'!Área_de_impresión</vt:lpstr>
      <vt:lpstr>'indicador 2'!Área_de_impresión</vt:lpstr>
    </vt:vector>
  </TitlesOfParts>
  <Company>SSP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raul.tlapanco</dc:creator>
  <cp:lastModifiedBy>Jhonathan Joel Santamaria Chavez</cp:lastModifiedBy>
  <cp:revision/>
  <cp:lastPrinted>2020-02-07T23:21:28Z</cp:lastPrinted>
  <dcterms:created xsi:type="dcterms:W3CDTF">2009-03-10T23:33:27Z</dcterms:created>
  <dcterms:modified xsi:type="dcterms:W3CDTF">2021-05-27T22:57:48Z</dcterms:modified>
</cp:coreProperties>
</file>