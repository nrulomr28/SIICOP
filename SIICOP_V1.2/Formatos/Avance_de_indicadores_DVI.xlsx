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antamariac\Documents\Visual Studio 2017\Projects\SIICOP_V1.2\SIICOP_V1.2\Formatos\"/>
    </mc:Choice>
  </mc:AlternateContent>
  <bookViews>
    <workbookView xWindow="15" yWindow="2490" windowWidth="12120" windowHeight="4860" activeTab="9"/>
  </bookViews>
  <sheets>
    <sheet name="indicador 1" sheetId="26" r:id="rId1"/>
    <sheet name="indicador 2" sheetId="45" r:id="rId2"/>
    <sheet name="indicador 3" sheetId="52" r:id="rId3"/>
    <sheet name="indicador 4" sheetId="56" r:id="rId4"/>
    <sheet name="indicador 5" sheetId="59" r:id="rId5"/>
    <sheet name="indicador 6" sheetId="60" r:id="rId6"/>
    <sheet name="indicador 7" sheetId="61" r:id="rId7"/>
    <sheet name="indicador 8" sheetId="62" r:id="rId8"/>
    <sheet name="indicador 9" sheetId="63" r:id="rId9"/>
    <sheet name="indicador 10" sheetId="64" r:id="rId10"/>
  </sheets>
  <definedNames>
    <definedName name="_xlnm.Print_Area" localSheetId="0">'indicador 1'!$B$2:$S$17</definedName>
    <definedName name="_xlnm.Print_Area" localSheetId="1">'indicador 2'!$B$2:$S$22</definedName>
  </definedNames>
  <calcPr calcId="152511"/>
</workbook>
</file>

<file path=xl/calcChain.xml><?xml version="1.0" encoding="utf-8"?>
<calcChain xmlns="http://schemas.openxmlformats.org/spreadsheetml/2006/main">
  <c r="G12" i="26" l="1"/>
  <c r="Q10" i="64" l="1"/>
  <c r="Q10" i="63"/>
  <c r="R11" i="62"/>
  <c r="R11" i="61"/>
  <c r="R11" i="60"/>
  <c r="R11" i="56"/>
  <c r="R11" i="52"/>
  <c r="R11" i="26"/>
  <c r="Q13" i="26" s="1"/>
  <c r="E9" i="63" l="1"/>
  <c r="E11" i="63"/>
  <c r="P13" i="64"/>
  <c r="Q13" i="64" s="1"/>
  <c r="P12" i="64"/>
  <c r="Q12" i="64" s="1"/>
  <c r="P11" i="64"/>
  <c r="O11" i="64"/>
  <c r="N11" i="64"/>
  <c r="M11" i="64"/>
  <c r="L11" i="64"/>
  <c r="K11" i="64"/>
  <c r="J11" i="64"/>
  <c r="I11" i="64"/>
  <c r="H11" i="64"/>
  <c r="G11" i="64"/>
  <c r="F11" i="64"/>
  <c r="E11" i="64"/>
  <c r="P9" i="64"/>
  <c r="O9" i="64"/>
  <c r="N9" i="64"/>
  <c r="M9" i="64"/>
  <c r="L9" i="64"/>
  <c r="K9" i="64"/>
  <c r="J9" i="64"/>
  <c r="I9" i="64"/>
  <c r="H9" i="64"/>
  <c r="G9" i="64"/>
  <c r="F9" i="64"/>
  <c r="E9" i="64"/>
  <c r="P13" i="63"/>
  <c r="Q13" i="63" s="1"/>
  <c r="P12" i="63"/>
  <c r="Q12" i="63" s="1"/>
  <c r="P11" i="63"/>
  <c r="O11" i="63"/>
  <c r="N11" i="63"/>
  <c r="M11" i="63"/>
  <c r="L11" i="63"/>
  <c r="K11" i="63"/>
  <c r="J11" i="63"/>
  <c r="I11" i="63"/>
  <c r="H11" i="63"/>
  <c r="G11" i="63"/>
  <c r="F11" i="63"/>
  <c r="P9" i="63"/>
  <c r="O9" i="63"/>
  <c r="N9" i="63"/>
  <c r="M9" i="63"/>
  <c r="L9" i="63"/>
  <c r="K9" i="63"/>
  <c r="J9" i="63"/>
  <c r="I9" i="63"/>
  <c r="H9" i="63"/>
  <c r="G9" i="63"/>
  <c r="F9" i="63"/>
  <c r="Q11" i="64" l="1"/>
  <c r="Q9" i="64"/>
  <c r="Q11" i="63"/>
  <c r="Q9" i="63"/>
  <c r="Q10" i="61" l="1"/>
  <c r="P10" i="61"/>
  <c r="O10" i="61"/>
  <c r="N10" i="61"/>
  <c r="M10" i="61"/>
  <c r="L10" i="61"/>
  <c r="K10" i="61"/>
  <c r="J10" i="61"/>
  <c r="I10" i="61"/>
  <c r="H10" i="61"/>
  <c r="G10" i="61"/>
  <c r="F10" i="61"/>
  <c r="Q12" i="62"/>
  <c r="P12" i="62"/>
  <c r="O12" i="62"/>
  <c r="Q12" i="59"/>
  <c r="P12" i="59"/>
  <c r="O12" i="59"/>
  <c r="Q12" i="56"/>
  <c r="P12" i="56"/>
  <c r="O12" i="56"/>
  <c r="I12" i="52"/>
  <c r="Q12" i="61"/>
  <c r="P12" i="61"/>
  <c r="O12" i="61"/>
  <c r="Q12" i="60"/>
  <c r="P12" i="60"/>
  <c r="O12" i="60"/>
  <c r="R14" i="62" l="1"/>
  <c r="Q14" i="62"/>
  <c r="N12" i="62"/>
  <c r="M12" i="62"/>
  <c r="L12" i="62"/>
  <c r="K12" i="62"/>
  <c r="J12" i="62"/>
  <c r="I12" i="62"/>
  <c r="H12" i="62"/>
  <c r="G12" i="62"/>
  <c r="F12" i="62"/>
  <c r="Q13" i="62"/>
  <c r="R13" i="62" s="1"/>
  <c r="Q10" i="62"/>
  <c r="P10" i="62"/>
  <c r="O10" i="62"/>
  <c r="N10" i="62"/>
  <c r="M10" i="62"/>
  <c r="L10" i="62"/>
  <c r="K10" i="62"/>
  <c r="J10" i="62"/>
  <c r="I10" i="62"/>
  <c r="H10" i="62"/>
  <c r="G10" i="62"/>
  <c r="F10" i="62"/>
  <c r="Q14" i="61"/>
  <c r="R14" i="61" s="1"/>
  <c r="N12" i="61"/>
  <c r="M12" i="61"/>
  <c r="L12" i="61"/>
  <c r="K12" i="61"/>
  <c r="J12" i="61"/>
  <c r="I12" i="61"/>
  <c r="H12" i="61"/>
  <c r="G12" i="61"/>
  <c r="F12" i="61"/>
  <c r="Q13" i="61"/>
  <c r="R13" i="61" s="1"/>
  <c r="Q14" i="60"/>
  <c r="R14" i="60" s="1"/>
  <c r="N12" i="60"/>
  <c r="M12" i="60"/>
  <c r="L12" i="60"/>
  <c r="K12" i="60"/>
  <c r="J12" i="60"/>
  <c r="I12" i="60"/>
  <c r="H12" i="60"/>
  <c r="G12" i="60"/>
  <c r="F12" i="60"/>
  <c r="Q13" i="60"/>
  <c r="R13" i="60" s="1"/>
  <c r="Q10" i="60"/>
  <c r="P10" i="60"/>
  <c r="O10" i="60"/>
  <c r="N10" i="60"/>
  <c r="M10" i="60"/>
  <c r="L10" i="60"/>
  <c r="K10" i="60"/>
  <c r="J10" i="60"/>
  <c r="I10" i="60"/>
  <c r="H10" i="60"/>
  <c r="G10" i="60"/>
  <c r="F10" i="60"/>
  <c r="Q14" i="59"/>
  <c r="R14" i="59" s="1"/>
  <c r="N12" i="59"/>
  <c r="M12" i="59"/>
  <c r="L12" i="59"/>
  <c r="K12" i="59"/>
  <c r="J12" i="59"/>
  <c r="I12" i="59"/>
  <c r="H12" i="59"/>
  <c r="G12" i="59"/>
  <c r="F12" i="59"/>
  <c r="R11" i="59"/>
  <c r="Q13" i="59" s="1"/>
  <c r="R13" i="59" s="1"/>
  <c r="Q10" i="59"/>
  <c r="P10" i="59"/>
  <c r="O10" i="59"/>
  <c r="N10" i="59"/>
  <c r="M10" i="59"/>
  <c r="L10" i="59"/>
  <c r="K10" i="59"/>
  <c r="J10" i="59"/>
  <c r="I10" i="59"/>
  <c r="H10" i="59"/>
  <c r="G10" i="59"/>
  <c r="F10" i="59"/>
  <c r="R12" i="62" l="1"/>
  <c r="R12" i="61"/>
  <c r="R10" i="62"/>
  <c r="R10" i="61"/>
  <c r="R10" i="59"/>
  <c r="R12" i="59"/>
  <c r="R10" i="60"/>
  <c r="R12" i="60"/>
  <c r="I10" i="52"/>
  <c r="K12" i="52"/>
  <c r="N12" i="56"/>
  <c r="M12" i="56"/>
  <c r="F12" i="56"/>
  <c r="G12" i="56"/>
  <c r="H12" i="56"/>
  <c r="I12" i="56"/>
  <c r="J12" i="56"/>
  <c r="K12" i="56"/>
  <c r="L12" i="56"/>
  <c r="Q14" i="56"/>
  <c r="R14" i="56" s="1"/>
  <c r="Q13" i="56"/>
  <c r="R13" i="56" s="1"/>
  <c r="Q10" i="56"/>
  <c r="P10" i="56"/>
  <c r="O10" i="56"/>
  <c r="N10" i="56"/>
  <c r="M10" i="56"/>
  <c r="L10" i="56"/>
  <c r="K10" i="56"/>
  <c r="J10" i="56"/>
  <c r="I10" i="56"/>
  <c r="H10" i="56"/>
  <c r="G10" i="56"/>
  <c r="F10" i="56"/>
  <c r="Q14" i="52"/>
  <c r="R14" i="52" s="1"/>
  <c r="Q12" i="52"/>
  <c r="P12" i="52"/>
  <c r="O12" i="52"/>
  <c r="N12" i="52"/>
  <c r="M12" i="52"/>
  <c r="F12" i="52"/>
  <c r="G12" i="52"/>
  <c r="H12" i="52"/>
  <c r="J12" i="52"/>
  <c r="L12" i="52"/>
  <c r="Q13" i="52"/>
  <c r="R13" i="52" s="1"/>
  <c r="Q10" i="52"/>
  <c r="P10" i="52"/>
  <c r="O10" i="52"/>
  <c r="N10" i="52"/>
  <c r="M10" i="52"/>
  <c r="L10" i="52"/>
  <c r="K10" i="52"/>
  <c r="J10" i="52"/>
  <c r="H10" i="52"/>
  <c r="F10" i="52"/>
  <c r="G10" i="52"/>
  <c r="F10" i="26"/>
  <c r="G10" i="26"/>
  <c r="H10" i="26"/>
  <c r="I10" i="26"/>
  <c r="J10" i="26"/>
  <c r="K10" i="26"/>
  <c r="L10" i="26"/>
  <c r="M10" i="26"/>
  <c r="N10" i="26"/>
  <c r="O10" i="26"/>
  <c r="P10" i="26"/>
  <c r="Q10" i="26"/>
  <c r="F12" i="26"/>
  <c r="H12" i="26"/>
  <c r="I12" i="26"/>
  <c r="J12" i="26"/>
  <c r="K12" i="26"/>
  <c r="L12" i="26"/>
  <c r="M12" i="26"/>
  <c r="N12" i="26"/>
  <c r="O12" i="26"/>
  <c r="P12" i="26"/>
  <c r="Q12" i="26"/>
  <c r="Q14" i="45"/>
  <c r="R14" i="45" s="1"/>
  <c r="Q12" i="45"/>
  <c r="P12" i="45"/>
  <c r="O12" i="45"/>
  <c r="N12" i="45"/>
  <c r="M12" i="45"/>
  <c r="L12" i="45"/>
  <c r="F12" i="45"/>
  <c r="G12" i="45"/>
  <c r="H12" i="45"/>
  <c r="I12" i="45"/>
  <c r="J12" i="45"/>
  <c r="K12" i="45"/>
  <c r="Q13" i="45"/>
  <c r="R13" i="45" s="1"/>
  <c r="Q10" i="45"/>
  <c r="P10" i="45"/>
  <c r="O10" i="45"/>
  <c r="N10" i="45"/>
  <c r="M10" i="45"/>
  <c r="L10" i="45"/>
  <c r="K10" i="45"/>
  <c r="J10" i="45"/>
  <c r="I10" i="45"/>
  <c r="H10" i="45"/>
  <c r="G10" i="45"/>
  <c r="F10" i="45"/>
  <c r="R12" i="52" l="1"/>
  <c r="R12" i="45"/>
  <c r="R12" i="26"/>
  <c r="R10" i="45"/>
  <c r="R10" i="26"/>
  <c r="R10" i="52"/>
  <c r="R10" i="56"/>
  <c r="R12" i="56"/>
</calcChain>
</file>

<file path=xl/sharedStrings.xml><?xml version="1.0" encoding="utf-8"?>
<sst xmlns="http://schemas.openxmlformats.org/spreadsheetml/2006/main" count="358" uniqueCount="71">
  <si>
    <t>CLAVE: 114S--14001-173-DNE390Y-100115.1.001</t>
  </si>
  <si>
    <t>ELEMENTOS PROGRAMÁTICOS</t>
  </si>
  <si>
    <t>META ANUAL</t>
  </si>
  <si>
    <t xml:space="preserve">NOMBRE </t>
  </si>
  <si>
    <t>MÉTODO</t>
  </si>
  <si>
    <t>PERIODICIDAD</t>
  </si>
  <si>
    <t>DEL</t>
  </si>
  <si>
    <t>DE</t>
  </si>
  <si>
    <t>PROGRAMADO</t>
  </si>
  <si>
    <t>INDICADOR</t>
  </si>
  <si>
    <t>CÁLCULO</t>
  </si>
  <si>
    <t>ALCANZADO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</si>
  <si>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</si>
  <si>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</si>
  <si>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</si>
  <si>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</si>
  <si>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</si>
  <si>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</si>
  <si>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</si>
  <si>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</si>
  <si>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</si>
  <si>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</si>
  <si>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</si>
  <si>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</si>
  <si>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</si>
  <si>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Proporción de beneficiados en materia de prevención del delito.</t>
  </si>
  <si>
    <t>(Número de beneficiados en materia de prevención del delito /  Número de beneficiados programados en materia de prevención del delito) *100</t>
  </si>
  <si>
    <t xml:space="preserve">Mensual </t>
  </si>
  <si>
    <t>Alcanzado</t>
  </si>
  <si>
    <t>AVANCE EN EL PERIODO</t>
  </si>
  <si>
    <t xml:space="preserve">  </t>
  </si>
  <si>
    <t xml:space="preserve"> </t>
  </si>
  <si>
    <t>CLAVE: 114S--14001-173-DNE390Y-100115.1.007</t>
  </si>
  <si>
    <t xml:space="preserve">Proporción de foros o ferias de prevención del delito. </t>
  </si>
  <si>
    <t>(Número de foros o ferias de prevención del delito realizados / Número de foros y ferias  programados en materia de prevención del delito)* 100</t>
  </si>
  <si>
    <t>CLAVE: 114S--14001-173-DNE390Y-100115.1.008</t>
  </si>
  <si>
    <t xml:space="preserve">
(Número de convenios celebrados/Número de convenios programados a celebrar)*100
</t>
  </si>
  <si>
    <t>JUSTIFICACIÓN</t>
  </si>
  <si>
    <t xml:space="preserve">Dirección de Vinculación Institucional  </t>
  </si>
  <si>
    <t>(Número de acciones en materia de prevención de la violencia contra las mujeres realizadas / Número de acciones programadas en materia de prevención de la violencia contra las mujeres) *100</t>
  </si>
  <si>
    <t>Bimestral</t>
  </si>
  <si>
    <t>CLAVE: 114S--14001-173-DNE390Y-100115.1.002</t>
  </si>
  <si>
    <t>CLAVE: 114S--14001-173-DNE390Y-100115.1.003</t>
  </si>
  <si>
    <t>CLAVE: 114S--14001-173-DNE390Y-100115.1.004</t>
  </si>
  <si>
    <t>CLAVE: 114S--14001-173-DNE390Y-100115.1.005</t>
  </si>
  <si>
    <t>CLAVE: 114S--14001-173-DNE390Y-100115.1.006</t>
  </si>
  <si>
    <t>(Número de acciones en materia de prevención del delito realizadas en el sector escolar/ Número de acciones en materia de prevención del delito programadas con el sector escolar) *100</t>
  </si>
  <si>
    <t>(Número de actividades deportivas para la prevención del delito realizados / Número de actividades deportivas para la prevención del delito programados) *100</t>
  </si>
  <si>
    <t>Mensual</t>
  </si>
  <si>
    <t>Proporción de acciones con el sector empresarial en materia de prevención del delito.</t>
  </si>
  <si>
    <t>(Número de acciones en materia de prevención del delito realizadas en el sector empresarial/ Número de acciones en materia de prevención del delito programadas con el sector empresarial) *100</t>
  </si>
  <si>
    <t>Proporción de acciones con el sector escolar en materia de prevención del delito.</t>
  </si>
  <si>
    <t>Proporción de convenios celebrados con empresas en beneficio del personal de la Secretaría de Seguridad Pública.</t>
  </si>
  <si>
    <t>Proporción de Redes Vecinales atendidas por la Dirección de Vinculación Institucional.</t>
  </si>
  <si>
    <t>Proporción de actividades deportivas para la prevención del delito realizadas.</t>
  </si>
  <si>
    <t>Proporción de acciones en materia de prevención de la violencia contra las mujeres realizadas</t>
  </si>
  <si>
    <t>Ing. Eleazar Guerrero Barrera</t>
  </si>
  <si>
    <t>Director de Vinculación Institucional</t>
  </si>
  <si>
    <t>Proporción de acciones en materia de inclusión social</t>
  </si>
  <si>
    <t>(Número de acciones en materia de prevención de inclusión social/ Número de acciones programadas en materia de inclusión social) *100</t>
  </si>
  <si>
    <t>Proporción de acciones con la ciudadania e instituciones en materia de prevención social de la violencia y la delincuencia.</t>
  </si>
  <si>
    <t>(Número de acciones en materia de prevención del delito realizadas con la ciudadania y las instituciones/ Número de acciones en materia de prevención social de la violencia y la delincuencia programadas con la ciudadanía y las instituciones) *100</t>
  </si>
  <si>
    <t>(Número de redes vecinales atendidas/Número de redes vecinales programadas para atender)*100</t>
  </si>
  <si>
    <t>A  V  A   N  C  E    F Í S I C O    D E    M E T A S    2021</t>
  </si>
  <si>
    <t>JUSTIFICACIÓN 
El incumplimiento se debe a la contingencia del COVID-19, por cancelación de acciones.</t>
  </si>
  <si>
    <t>JUSTIFICACIÓN 
El incumplimiento se debe a la contingencia del COVID-19, por cancelación de acciones..</t>
  </si>
  <si>
    <t>El incumplimiento se debe a la contingencia del COVID-19, por cancelación de acciones.</t>
  </si>
  <si>
    <t>JUSTIFICACIÓN
El incumplimiento se debe a la contingencia del COVID-19, por cancelación de acciones.</t>
  </si>
  <si>
    <t xml:space="preserve">Dirección General de Vinculación Institucional </t>
  </si>
  <si>
    <t xml:space="preserve">Dirección General de Vinculación Institucional  </t>
  </si>
  <si>
    <t>Dirección General de Vinculación Institucional 
El incumplimiento se debe a la contingencia del COVID-19, por cancelación de acciones.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</si>
</sst>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#,##0;[Red]#,##0"/>
    <numFmt numFmtId="166" formatCode="0.0"/>
  </numFmts>
  <fonts count="2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.5"/>
      <name val="CG Omega (W1)"/>
      <family val="2"/>
    </font>
    <font>
      <b/>
      <sz val="9"/>
      <name val="CG Omega (W1)"/>
      <family val="2"/>
    </font>
    <font>
      <b/>
      <sz val="6.5"/>
      <name val="CG Omega (W1)"/>
      <family val="2"/>
    </font>
    <font>
      <b/>
      <sz val="7"/>
      <name val="CG Omega (W1)"/>
      <family val="2"/>
    </font>
    <font>
      <b/>
      <sz val="8"/>
      <name val="CG Omega (W1)"/>
      <family val="2"/>
    </font>
    <font>
      <sz val="11"/>
      <name val="Arial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5" fillId="0" borderId="0"/>
    <xf numFmtId="0" fontId="20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1" fillId="0" borderId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9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right" vertical="center"/>
    </xf>
    <xf numFmtId="0" fontId="15" fillId="0" borderId="0" xfId="0" applyFont="1"/>
    <xf numFmtId="165" fontId="0" fillId="0" borderId="0" xfId="0" applyNumberFormat="1"/>
    <xf numFmtId="166" fontId="0" fillId="0" borderId="0" xfId="0" applyNumberFormat="1"/>
    <xf numFmtId="0" fontId="17" fillId="0" borderId="0" xfId="0" applyFont="1" applyAlignment="1">
      <alignment horizontal="right"/>
    </xf>
    <xf numFmtId="164" fontId="18" fillId="0" borderId="0" xfId="3" applyNumberFormat="1" applyFont="1"/>
    <xf numFmtId="0" fontId="0" fillId="0" borderId="0" xfId="0" applyAlignment="1">
      <alignment vertical="center"/>
    </xf>
    <xf numFmtId="165" fontId="2" fillId="0" borderId="9" xfId="0" applyNumberFormat="1" applyFont="1" applyBorder="1" applyAlignment="1">
      <alignment horizontal="center" vertical="top"/>
    </xf>
    <xf numFmtId="165" fontId="2" fillId="0" borderId="10" xfId="0" applyNumberFormat="1" applyFont="1" applyBorder="1" applyAlignment="1">
      <alignment horizontal="center" vertical="top"/>
    </xf>
    <xf numFmtId="165" fontId="2" fillId="0" borderId="10" xfId="0" applyNumberFormat="1" applyFont="1" applyFill="1" applyBorder="1" applyAlignment="1">
      <alignment horizontal="center" vertical="top"/>
    </xf>
    <xf numFmtId="164" fontId="2" fillId="0" borderId="11" xfId="3" applyNumberFormat="1" applyFont="1" applyBorder="1" applyAlignment="1">
      <alignment horizontal="center" vertical="top"/>
    </xf>
    <xf numFmtId="164" fontId="2" fillId="0" borderId="12" xfId="3" applyNumberFormat="1" applyFont="1" applyBorder="1" applyAlignment="1">
      <alignment horizontal="center" vertical="top"/>
    </xf>
    <xf numFmtId="165" fontId="2" fillId="4" borderId="12" xfId="0" applyNumberFormat="1" applyFont="1" applyFill="1" applyBorder="1" applyAlignment="1">
      <alignment horizontal="center" vertical="top"/>
    </xf>
    <xf numFmtId="165" fontId="2" fillId="4" borderId="13" xfId="0" applyNumberFormat="1" applyFont="1" applyFill="1" applyBorder="1" applyAlignment="1">
      <alignment horizontal="center" vertical="top"/>
    </xf>
    <xf numFmtId="164" fontId="2" fillId="4" borderId="6" xfId="3" applyNumberFormat="1" applyFont="1" applyFill="1" applyBorder="1" applyAlignment="1">
      <alignment horizontal="center" vertical="top"/>
    </xf>
    <xf numFmtId="164" fontId="2" fillId="4" borderId="7" xfId="3" applyNumberFormat="1" applyFont="1" applyFill="1" applyBorder="1" applyAlignment="1">
      <alignment horizontal="center" vertical="top"/>
    </xf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 applyFill="1" applyBorder="1" applyAlignment="1">
      <alignment horizontal="center" vertical="top"/>
    </xf>
    <xf numFmtId="165" fontId="2" fillId="7" borderId="12" xfId="0" applyNumberFormat="1" applyFont="1" applyFill="1" applyBorder="1" applyAlignment="1">
      <alignment horizontal="center" vertical="top"/>
    </xf>
    <xf numFmtId="165" fontId="2" fillId="0" borderId="0" xfId="0" applyNumberFormat="1" applyFont="1"/>
    <xf numFmtId="10" fontId="2" fillId="0" borderId="0" xfId="0" applyNumberFormat="1" applyFont="1" applyBorder="1"/>
    <xf numFmtId="0" fontId="2" fillId="0" borderId="0" xfId="0" applyFont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/>
    <xf numFmtId="165" fontId="2" fillId="0" borderId="12" xfId="0" applyNumberFormat="1" applyFont="1" applyBorder="1" applyAlignment="1">
      <alignment horizontal="center" vertical="top"/>
    </xf>
    <xf numFmtId="165" fontId="2" fillId="0" borderId="12" xfId="0" applyNumberFormat="1" applyFont="1" applyFill="1" applyBorder="1" applyAlignment="1">
      <alignment horizontal="center" vertical="top"/>
    </xf>
    <xf numFmtId="0" fontId="2" fillId="0" borderId="0" xfId="0" applyFont="1" applyFill="1" applyBorder="1"/>
    <xf numFmtId="0" fontId="2" fillId="0" borderId="0" xfId="0" applyFont="1" applyAlignment="1">
      <alignment horizontal="justify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5" fontId="2" fillId="4" borderId="12" xfId="0" applyNumberFormat="1" applyFont="1" applyFill="1" applyBorder="1" applyAlignment="1">
      <alignment horizontal="center" vertical="center"/>
    </xf>
    <xf numFmtId="3" fontId="22" fillId="0" borderId="13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164" fontId="2" fillId="4" borderId="6" xfId="3" applyNumberFormat="1" applyFont="1" applyFill="1" applyBorder="1" applyAlignment="1">
      <alignment horizontal="center" vertical="center"/>
    </xf>
    <xf numFmtId="164" fontId="2" fillId="4" borderId="7" xfId="3" applyNumberFormat="1" applyFont="1" applyFill="1" applyBorder="1" applyAlignment="1">
      <alignment horizontal="center" vertical="center"/>
    </xf>
    <xf numFmtId="165" fontId="2" fillId="4" borderId="13" xfId="0" applyNumberFormat="1" applyFont="1" applyFill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Fill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4" fontId="2" fillId="0" borderId="12" xfId="3" applyNumberFormat="1" applyFont="1" applyBorder="1" applyAlignment="1">
      <alignment horizontal="center" vertical="center"/>
    </xf>
    <xf numFmtId="164" fontId="2" fillId="0" borderId="11" xfId="3" applyNumberFormat="1" applyFont="1" applyBorder="1" applyAlignment="1">
      <alignment horizontal="center" vertical="center"/>
    </xf>
    <xf numFmtId="0" fontId="14" fillId="2" borderId="34" xfId="0" applyFont="1" applyFill="1" applyBorder="1" applyAlignment="1">
      <alignment horizontal="justify" vertical="center" wrapText="1"/>
    </xf>
    <xf numFmtId="0" fontId="14" fillId="2" borderId="35" xfId="0" applyFont="1" applyFill="1" applyBorder="1" applyAlignment="1">
      <alignment horizontal="justify" vertical="center"/>
    </xf>
    <xf numFmtId="0" fontId="14" fillId="2" borderId="36" xfId="0" applyFont="1" applyFill="1" applyBorder="1" applyAlignment="1">
      <alignment horizontal="justify" vertical="center"/>
    </xf>
    <xf numFmtId="0" fontId="16" fillId="0" borderId="0" xfId="0" applyFont="1" applyAlignment="1">
      <alignment horizontal="center"/>
    </xf>
    <xf numFmtId="164" fontId="4" fillId="6" borderId="47" xfId="3" applyNumberFormat="1" applyFont="1" applyFill="1" applyBorder="1" applyAlignment="1">
      <alignment horizontal="center" vertical="center"/>
    </xf>
    <xf numFmtId="164" fontId="4" fillId="6" borderId="48" xfId="3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4" fillId="0" borderId="15" xfId="0" applyFont="1" applyBorder="1" applyAlignment="1">
      <alignment horizontal="center" vertical="center"/>
    </xf>
    <xf numFmtId="49" fontId="16" fillId="0" borderId="0" xfId="0" applyNumberFormat="1" applyFont="1" applyAlignment="1">
      <alignment horizontal="center"/>
    </xf>
    <xf numFmtId="0" fontId="12" fillId="0" borderId="22" xfId="0" applyFont="1" applyFill="1" applyBorder="1" applyAlignment="1">
      <alignment horizontal="justify" vertical="center" wrapText="1"/>
    </xf>
    <xf numFmtId="0" fontId="12" fillId="0" borderId="2" xfId="0" applyFont="1" applyFill="1" applyBorder="1" applyAlignment="1">
      <alignment horizontal="justify" vertical="center" wrapText="1"/>
    </xf>
    <xf numFmtId="0" fontId="12" fillId="0" borderId="2" xfId="0" applyFont="1" applyFill="1" applyBorder="1" applyAlignment="1"/>
    <xf numFmtId="0" fontId="12" fillId="0" borderId="4" xfId="0" applyFont="1" applyFill="1" applyBorder="1" applyAlignment="1"/>
    <xf numFmtId="0" fontId="13" fillId="5" borderId="23" xfId="0" applyFont="1" applyFill="1" applyBorder="1" applyAlignment="1">
      <alignment horizontal="center" vertical="center" wrapText="1"/>
    </xf>
    <xf numFmtId="0" fontId="13" fillId="5" borderId="24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/>
    </xf>
    <xf numFmtId="0" fontId="7" fillId="0" borderId="4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41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165" fontId="2" fillId="4" borderId="33" xfId="0" applyNumberFormat="1" applyFont="1" applyFill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2" fillId="0" borderId="21" xfId="0" applyFont="1" applyFill="1" applyBorder="1" applyAlignment="1">
      <alignment horizontal="justify" vertical="center" wrapText="1"/>
    </xf>
    <xf numFmtId="0" fontId="12" fillId="0" borderId="1" xfId="0" applyFont="1" applyFill="1" applyBorder="1" applyAlignment="1">
      <alignment horizontal="justify" vertical="center" wrapText="1"/>
    </xf>
    <xf numFmtId="0" fontId="12" fillId="0" borderId="3" xfId="0" applyFont="1" applyFill="1" applyBorder="1" applyAlignment="1">
      <alignment horizontal="justify" vertical="center" wrapText="1"/>
    </xf>
    <xf numFmtId="164" fontId="4" fillId="6" borderId="14" xfId="3" applyNumberFormat="1" applyFont="1" applyFill="1" applyBorder="1" applyAlignment="1">
      <alignment horizontal="center" vertical="center"/>
    </xf>
    <xf numFmtId="164" fontId="4" fillId="6" borderId="16" xfId="3" applyNumberFormat="1" applyFont="1" applyFill="1" applyBorder="1" applyAlignment="1">
      <alignment horizontal="center" vertical="center"/>
    </xf>
    <xf numFmtId="164" fontId="4" fillId="6" borderId="30" xfId="3" applyNumberFormat="1" applyFont="1" applyFill="1" applyBorder="1" applyAlignment="1">
      <alignment horizontal="center" vertical="center"/>
    </xf>
    <xf numFmtId="164" fontId="4" fillId="6" borderId="31" xfId="3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2" fillId="0" borderId="3" xfId="0" applyFont="1" applyFill="1" applyBorder="1" applyAlignment="1">
      <alignment horizontal="justify" vertical="center" wrapText="1"/>
    </xf>
    <xf numFmtId="0" fontId="14" fillId="2" borderId="45" xfId="0" applyFont="1" applyFill="1" applyBorder="1" applyAlignment="1">
      <alignment horizontal="justify" vertical="center" wrapText="1"/>
    </xf>
    <xf numFmtId="0" fontId="14" fillId="2" borderId="20" xfId="0" applyFont="1" applyFill="1" applyBorder="1" applyAlignment="1">
      <alignment horizontal="justify" vertical="center" wrapText="1"/>
    </xf>
    <xf numFmtId="0" fontId="14" fillId="2" borderId="46" xfId="0" applyFont="1" applyFill="1" applyBorder="1" applyAlignment="1">
      <alignment horizontal="justify" vertical="center" wrapText="1"/>
    </xf>
    <xf numFmtId="0" fontId="14" fillId="2" borderId="43" xfId="0" applyFont="1" applyFill="1" applyBorder="1" applyAlignment="1">
      <alignment horizontal="left" vertical="center" wrapText="1"/>
    </xf>
    <xf numFmtId="0" fontId="14" fillId="2" borderId="42" xfId="0" applyFont="1" applyFill="1" applyBorder="1" applyAlignment="1">
      <alignment horizontal="left" vertical="center" wrapText="1"/>
    </xf>
    <xf numFmtId="0" fontId="14" fillId="2" borderId="44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13" fillId="5" borderId="3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justify" vertical="center" wrapText="1"/>
    </xf>
    <xf numFmtId="0" fontId="14" fillId="2" borderId="19" xfId="0" applyFont="1" applyFill="1" applyBorder="1" applyAlignment="1">
      <alignment horizontal="left" vertical="center" wrapText="1"/>
    </xf>
    <xf numFmtId="0" fontId="14" fillId="2" borderId="18" xfId="0" applyFont="1" applyFill="1" applyBorder="1" applyAlignment="1">
      <alignment horizontal="left" vertical="center" wrapText="1"/>
    </xf>
    <xf numFmtId="0" fontId="14" fillId="2" borderId="17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center"/>
    </xf>
    <xf numFmtId="0" fontId="12" fillId="0" borderId="12" xfId="0" applyFont="1" applyFill="1" applyBorder="1" applyAlignment="1">
      <alignment horizontal="justify" vertical="center" wrapText="1"/>
    </xf>
    <xf numFmtId="165" fontId="2" fillId="0" borderId="9" xfId="0" applyNumberFormat="1" applyFont="1" applyFill="1" applyBorder="1" applyAlignment="1">
      <alignment horizontal="center" vertical="top"/>
    </xf>
  </cellXfs>
  <cellStyles count="15">
    <cellStyle name="Normal" xfId="0" builtinId="0"/>
    <cellStyle name="Normal 2" xfId="1"/>
    <cellStyle name="Normal 2 2" xfId="8"/>
    <cellStyle name="Normal 3" xfId="2"/>
    <cellStyle name="Normal 3 2" xfId="9"/>
    <cellStyle name="Porcentaje" xfId="3" builtinId="5"/>
    <cellStyle name="Porcentaje 2" xfId="4"/>
    <cellStyle name="Porcentaje 2 2" xfId="11"/>
    <cellStyle name="Porcentaje 3" xfId="5"/>
    <cellStyle name="Porcentaje 3 2" xfId="12"/>
    <cellStyle name="Porcentaje 4" xfId="6"/>
    <cellStyle name="Porcentaje 4 2" xfId="13"/>
    <cellStyle name="Porcentaje 5" xfId="10"/>
    <cellStyle name="Porcentual 2" xfId="7"/>
    <cellStyle name="Porcentual 2 2" xfId="14"/>
  </cellStyles>
  <dxfs count="0"/>
  <tableStyles count="0" defaultTableStyle="TableStyleMedium9" defaultPivotStyle="PivotStyleLight16"/>
  <colors>
    <mruColors>
      <color rgb="FF99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30"/>
  <sheetViews>
    <sheetView zoomScale="90" zoomScaleNormal="90" workbookViewId="0">
      <selection activeCell="K22" sqref="K22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4.5703125" customWidth="1"/>
    <col min="5" max="5" width="10.5703125" customWidth="1"/>
    <col min="6" max="6" width="9.28515625" customWidth="1"/>
    <col min="7" max="7" width="10" customWidth="1"/>
    <col min="8" max="13" width="9.28515625" customWidth="1"/>
    <col min="14" max="14" width="10" customWidth="1"/>
    <col min="15" max="15" width="9.28515625" customWidth="1"/>
    <col min="16" max="16" width="11" customWidth="1"/>
    <col min="17" max="17" width="9.28515625" customWidth="1"/>
    <col min="18" max="18" width="12.28515625" customWidth="1"/>
    <col min="19" max="256" width="11.42578125" customWidth="1"/>
  </cols>
  <sheetData>
    <row r="2" spans="2:19" ht="18.75" customHeight="1" thickBot="1">
      <c r="B2" s="95" t="s">
        <v>68</v>
      </c>
      <c r="C2" s="95"/>
      <c r="D2" s="95"/>
      <c r="E2" s="95"/>
      <c r="N2" s="77" t="s">
        <v>0</v>
      </c>
      <c r="O2" s="77"/>
      <c r="P2" s="77"/>
      <c r="Q2" s="77"/>
      <c r="R2" s="77"/>
    </row>
    <row r="3" spans="2:19" ht="13.5" customHeight="1" thickBot="1">
      <c r="B3" s="71" t="s">
        <v>1</v>
      </c>
      <c r="C3" s="72"/>
      <c r="D3" s="73"/>
      <c r="E3" s="84" t="s">
        <v>2</v>
      </c>
      <c r="F3" s="87" t="s">
        <v>63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</row>
    <row r="4" spans="2:19">
      <c r="B4" s="1" t="s">
        <v>3</v>
      </c>
      <c r="C4" s="2" t="s">
        <v>4</v>
      </c>
      <c r="D4" s="74" t="s">
        <v>5</v>
      </c>
      <c r="E4" s="85"/>
      <c r="F4" s="90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2"/>
    </row>
    <row r="5" spans="2:19">
      <c r="B5" s="1" t="s">
        <v>6</v>
      </c>
      <c r="C5" s="2" t="s">
        <v>7</v>
      </c>
      <c r="D5" s="75"/>
      <c r="E5" s="85"/>
      <c r="F5" s="78" t="s">
        <v>8</v>
      </c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80"/>
    </row>
    <row r="6" spans="2:19">
      <c r="B6" s="1" t="s">
        <v>9</v>
      </c>
      <c r="C6" s="2" t="s">
        <v>10</v>
      </c>
      <c r="D6" s="75"/>
      <c r="E6" s="85"/>
      <c r="F6" s="81" t="s">
        <v>11</v>
      </c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3"/>
    </row>
    <row r="7" spans="2:19" ht="13.5" thickBot="1">
      <c r="B7" s="3"/>
      <c r="C7" s="4"/>
      <c r="D7" s="76"/>
      <c r="E7" s="86"/>
      <c r="F7" s="5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7" t="s">
        <v>24</v>
      </c>
    </row>
    <row r="8" spans="2:19" ht="13.5" thickBot="1">
      <c r="B8" s="8"/>
      <c r="C8" s="9"/>
      <c r="D8" s="9"/>
      <c r="E8" s="10"/>
      <c r="F8" s="10"/>
      <c r="G8" s="10"/>
      <c r="H8" s="10"/>
      <c r="I8" s="10"/>
      <c r="J8" s="10"/>
      <c r="K8" s="10"/>
      <c r="L8" s="10"/>
    </row>
    <row r="9" spans="2:19" ht="18.75" customHeight="1">
      <c r="B9" s="96" t="s">
        <v>25</v>
      </c>
      <c r="C9" s="64" t="s">
        <v>26</v>
      </c>
      <c r="D9" s="68" t="s">
        <v>27</v>
      </c>
      <c r="E9" s="43">
        <v>185110</v>
      </c>
      <c r="F9" s="19">
        <v>141182</v>
      </c>
      <c r="G9" s="19">
        <v>26749</v>
      </c>
      <c r="H9" s="19">
        <v>22661</v>
      </c>
      <c r="I9" s="19">
        <v>14147</v>
      </c>
      <c r="J9" s="19">
        <v>13542</v>
      </c>
      <c r="K9" s="19">
        <v>14905</v>
      </c>
      <c r="L9" s="19">
        <v>3435</v>
      </c>
      <c r="M9" s="19">
        <v>5753</v>
      </c>
      <c r="N9" s="19">
        <v>20675</v>
      </c>
      <c r="O9" s="19">
        <v>20648</v>
      </c>
      <c r="P9" s="19">
        <v>18949</v>
      </c>
      <c r="Q9" s="19">
        <v>9463</v>
      </c>
      <c r="R9" s="43">
        <v>185110</v>
      </c>
    </row>
    <row r="10" spans="2:19" ht="18.75" customHeight="1">
      <c r="B10" s="97"/>
      <c r="C10" s="65"/>
      <c r="D10" s="69"/>
      <c r="E10" s="20">
        <v>1</v>
      </c>
      <c r="F10" s="21">
        <f>SUM(F9/E9)</f>
        <v>0.76269245313597323</v>
      </c>
      <c r="G10" s="21">
        <f>SUM(G9/E9)</f>
        <v>0.14450326832694074</v>
      </c>
      <c r="H10" s="21">
        <f>SUM(H9/E9)</f>
        <v>0.12241910215547512</v>
      </c>
      <c r="I10" s="21">
        <f>SUM(I9/E9)</f>
        <v>7.6424828480363027E-2</v>
      </c>
      <c r="J10" s="21">
        <f>SUM(J9/E9)</f>
        <v>7.3156501539625093E-2</v>
      </c>
      <c r="K10" s="21">
        <f>SUM(K9/E9)</f>
        <v>8.0519690994543786E-2</v>
      </c>
      <c r="L10" s="21">
        <f>SUM(L9/E9)</f>
        <v>1.855653395278483E-2</v>
      </c>
      <c r="M10" s="21">
        <f>SUM(M9/E9)</f>
        <v>3.1078818000108043E-2</v>
      </c>
      <c r="N10" s="21">
        <f>SUM(N9/E9)</f>
        <v>0.11169034628058992</v>
      </c>
      <c r="O10" s="21">
        <f>SUM(O9/E9)</f>
        <v>0.11154448706174706</v>
      </c>
      <c r="P10" s="21">
        <f>SUM(P9/E9)</f>
        <v>0.10236616066122846</v>
      </c>
      <c r="Q10" s="21">
        <f>SUM(Q9/E9)</f>
        <v>5.1120955107773758E-2</v>
      </c>
      <c r="R10" s="20">
        <f>SUM(F10:Q10)</f>
        <v>1.6860731456971532</v>
      </c>
    </row>
    <row r="11" spans="2:19" ht="18.75" customHeight="1">
      <c r="B11" s="97"/>
      <c r="C11" s="66"/>
      <c r="D11" s="69"/>
      <c r="E11" s="93" t="s">
        <v>28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>
        <f>SUM(F11:Q11)</f>
        <v>0</v>
      </c>
      <c r="S11" s="12"/>
    </row>
    <row r="12" spans="2:19" ht="34.5" customHeight="1" thickBot="1">
      <c r="B12" s="98"/>
      <c r="C12" s="67"/>
      <c r="D12" s="70"/>
      <c r="E12" s="94"/>
      <c r="F12" s="24">
        <f>+F11/E9</f>
        <v>0</v>
      </c>
      <c r="G12" s="24">
        <f>+G11/E9</f>
        <v>0</v>
      </c>
      <c r="H12" s="24">
        <f>+H11/E9</f>
        <v>0</v>
      </c>
      <c r="I12" s="24">
        <f>+I11/E9</f>
        <v>0</v>
      </c>
      <c r="J12" s="24">
        <f>+J11/E9</f>
        <v>0</v>
      </c>
      <c r="K12" s="24">
        <f>+K11/E9</f>
        <v>0</v>
      </c>
      <c r="L12" s="24">
        <f>+L11/E9</f>
        <v>0</v>
      </c>
      <c r="M12" s="24">
        <f>+M11/E9</f>
        <v>0</v>
      </c>
      <c r="N12" s="24">
        <f>+N11/E9</f>
        <v>0</v>
      </c>
      <c r="O12" s="24">
        <f>+O11/E9</f>
        <v>0</v>
      </c>
      <c r="P12" s="24">
        <f>+P11/E9</f>
        <v>0</v>
      </c>
      <c r="Q12" s="24">
        <f>+Q11/E9</f>
        <v>0</v>
      </c>
      <c r="R12" s="25">
        <f>SUM(F12:Q12)</f>
        <v>0</v>
      </c>
    </row>
    <row r="13" spans="2:19" ht="12.75" customHeight="1">
      <c r="N13" s="62" t="s">
        <v>29</v>
      </c>
      <c r="O13" s="62"/>
      <c r="P13" s="62"/>
      <c r="Q13" s="59">
        <f>SUM(R11/E9)</f>
        <v>0</v>
      </c>
      <c r="R13" s="60"/>
    </row>
    <row r="14" spans="2:19">
      <c r="D14" s="11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2:19" ht="6" customHeight="1" thickBot="1">
      <c r="F15" s="61"/>
      <c r="G15" s="61"/>
      <c r="H15" s="61"/>
      <c r="I15" s="61"/>
      <c r="J15" s="61"/>
      <c r="K15" s="26"/>
      <c r="L15" s="26"/>
      <c r="M15" s="61"/>
      <c r="N15" s="61"/>
      <c r="O15" s="61"/>
      <c r="P15" s="61"/>
      <c r="Q15" s="61"/>
      <c r="R15" s="12"/>
    </row>
    <row r="16" spans="2:19" ht="15.75" hidden="1" thickBot="1">
      <c r="F16" s="58"/>
      <c r="G16" s="58"/>
      <c r="H16" s="58"/>
      <c r="I16" s="58"/>
      <c r="J16" s="58"/>
      <c r="K16" s="26"/>
      <c r="L16" s="26"/>
      <c r="M16" s="63"/>
      <c r="N16" s="63"/>
      <c r="O16" s="63"/>
      <c r="P16" s="63"/>
      <c r="Q16" s="63"/>
    </row>
    <row r="17" spans="2:17" ht="55.5" customHeight="1" thickBot="1">
      <c r="B17" s="55" t="s">
        <v>67</v>
      </c>
      <c r="C17" s="56"/>
      <c r="D17" s="56"/>
      <c r="E17" s="57"/>
      <c r="F17" s="26"/>
      <c r="G17" s="27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2:17"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8"/>
    </row>
    <row r="19" spans="2:17"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2:17"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2:17">
      <c r="C21" t="s">
        <v>30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2:17"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2:17"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2:17"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2:17" ht="15">
      <c r="B25" t="s">
        <v>31</v>
      </c>
      <c r="F25" s="58"/>
      <c r="G25" s="58"/>
      <c r="H25" s="58"/>
      <c r="I25" s="58"/>
      <c r="J25" s="58"/>
      <c r="K25" s="26"/>
      <c r="L25" s="26"/>
      <c r="M25" s="26"/>
      <c r="N25" s="26"/>
      <c r="O25" s="26"/>
      <c r="P25" s="26"/>
      <c r="Q25" s="26"/>
    </row>
    <row r="26" spans="2:17" ht="20.25">
      <c r="C26" t="s">
        <v>30</v>
      </c>
      <c r="F26" s="26"/>
      <c r="G26" s="14"/>
      <c r="H26" s="15"/>
      <c r="I26" s="26"/>
      <c r="J26" s="26"/>
      <c r="K26" s="26"/>
      <c r="L26" s="26"/>
      <c r="M26" s="26"/>
      <c r="N26" s="26"/>
      <c r="O26" s="26"/>
      <c r="P26" s="26"/>
      <c r="Q26" s="26"/>
    </row>
    <row r="27" spans="2:17">
      <c r="C27" t="s">
        <v>30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2:17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2:17"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2:17"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</sheetData>
  <mergeCells count="20">
    <mergeCell ref="C9:C12"/>
    <mergeCell ref="D9:D12"/>
    <mergeCell ref="B3:D3"/>
    <mergeCell ref="D4:D7"/>
    <mergeCell ref="N2:R2"/>
    <mergeCell ref="F5:R5"/>
    <mergeCell ref="F6:R6"/>
    <mergeCell ref="E3:E7"/>
    <mergeCell ref="F3:R4"/>
    <mergeCell ref="E11:E12"/>
    <mergeCell ref="B2:E2"/>
    <mergeCell ref="B9:B12"/>
    <mergeCell ref="B17:E17"/>
    <mergeCell ref="F25:J25"/>
    <mergeCell ref="Q13:R13"/>
    <mergeCell ref="F15:J15"/>
    <mergeCell ref="M15:Q15"/>
    <mergeCell ref="N13:P13"/>
    <mergeCell ref="F16:J16"/>
    <mergeCell ref="M16:Q16"/>
  </mergeCells>
  <pageMargins left="0.25" right="0.25" top="0.75" bottom="0.75" header="0.3" footer="0.3"/>
  <pageSetup scale="6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35"/>
  <sheetViews>
    <sheetView zoomScale="90" zoomScaleNormal="90" workbookViewId="0">
      <selection activeCell="R9" sqref="R9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4.5703125" customWidth="1"/>
    <col min="5" max="5" width="22.85546875" customWidth="1"/>
    <col min="6" max="13" width="9.28515625" customWidth="1"/>
    <col min="14" max="14" width="10" customWidth="1"/>
    <col min="15" max="15" width="9.28515625" customWidth="1"/>
    <col min="16" max="16" width="11" customWidth="1"/>
    <col min="17" max="17" width="9.28515625" customWidth="1"/>
    <col min="18" max="18" width="9.42578125" customWidth="1"/>
    <col min="19" max="256" width="11.42578125" customWidth="1"/>
  </cols>
  <sheetData>
    <row r="2" spans="2:21" ht="18.75" customHeight="1" thickBot="1">
      <c r="B2" s="95" t="s">
        <v>68</v>
      </c>
      <c r="C2" s="95"/>
      <c r="D2" s="95"/>
      <c r="E2" s="95"/>
      <c r="N2" s="77" t="s">
        <v>41</v>
      </c>
      <c r="O2" s="77"/>
      <c r="P2" s="77"/>
      <c r="Q2" s="77"/>
      <c r="R2" s="77"/>
    </row>
    <row r="3" spans="2:21" ht="13.5" thickBot="1">
      <c r="B3" s="71" t="s">
        <v>1</v>
      </c>
      <c r="C3" s="72"/>
      <c r="D3" s="73"/>
      <c r="E3" s="105" t="s">
        <v>2</v>
      </c>
      <c r="F3" s="87" t="s">
        <v>63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</row>
    <row r="4" spans="2:21">
      <c r="B4" s="1" t="s">
        <v>3</v>
      </c>
      <c r="C4" s="2" t="s">
        <v>4</v>
      </c>
      <c r="D4" s="74" t="s">
        <v>5</v>
      </c>
      <c r="E4" s="106"/>
      <c r="F4" s="90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2"/>
    </row>
    <row r="5" spans="2:21">
      <c r="B5" s="1" t="s">
        <v>6</v>
      </c>
      <c r="C5" s="2" t="s">
        <v>7</v>
      </c>
      <c r="D5" s="75"/>
      <c r="E5" s="106"/>
      <c r="F5" s="108" t="s">
        <v>8</v>
      </c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2:21">
      <c r="B6" s="1" t="s">
        <v>9</v>
      </c>
      <c r="C6" s="2" t="s">
        <v>10</v>
      </c>
      <c r="D6" s="75"/>
      <c r="E6" s="106"/>
      <c r="F6" s="111" t="s">
        <v>11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3"/>
    </row>
    <row r="7" spans="2:21" ht="13.5" thickBot="1">
      <c r="B7" s="3"/>
      <c r="C7" s="4"/>
      <c r="D7" s="76"/>
      <c r="E7" s="107"/>
      <c r="F7" s="5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7" t="s">
        <v>24</v>
      </c>
    </row>
    <row r="8" spans="2:21" ht="13.5" thickBot="1">
      <c r="B8" s="8"/>
      <c r="C8" s="9"/>
      <c r="D8" s="9"/>
      <c r="E8" s="10"/>
      <c r="F8" s="10"/>
      <c r="G8" s="10"/>
      <c r="H8" s="10"/>
      <c r="I8" s="10"/>
      <c r="J8" s="10"/>
      <c r="K8" s="10"/>
      <c r="L8" s="10"/>
    </row>
    <row r="9" spans="2:21" ht="18.75" customHeight="1">
      <c r="B9" s="96" t="s">
        <v>33</v>
      </c>
      <c r="C9" s="64" t="s">
        <v>34</v>
      </c>
      <c r="D9" s="68" t="s">
        <v>40</v>
      </c>
      <c r="E9" s="138">
        <v>9</v>
      </c>
      <c r="F9" s="18">
        <v>0</v>
      </c>
      <c r="G9" s="19">
        <v>2</v>
      </c>
      <c r="H9" s="18">
        <v>0</v>
      </c>
      <c r="I9" s="18">
        <v>0</v>
      </c>
      <c r="J9" s="18">
        <v>0</v>
      </c>
      <c r="K9" s="18">
        <v>1</v>
      </c>
      <c r="L9" s="18">
        <v>0</v>
      </c>
      <c r="M9" s="19">
        <v>2</v>
      </c>
      <c r="N9" s="19">
        <v>0</v>
      </c>
      <c r="O9" s="19">
        <v>2</v>
      </c>
      <c r="P9" s="19">
        <v>0</v>
      </c>
      <c r="Q9" s="19">
        <v>2</v>
      </c>
      <c r="R9" s="17">
        <v>9</v>
      </c>
      <c r="T9" s="29"/>
    </row>
    <row r="10" spans="2:21" ht="18.75" customHeight="1">
      <c r="B10" s="97"/>
      <c r="C10" s="65"/>
      <c r="D10" s="69"/>
      <c r="E10" s="20">
        <v>1</v>
      </c>
      <c r="F10" s="21">
        <f>SUM(F9/E9)</f>
        <v>0</v>
      </c>
      <c r="G10" s="21">
        <f>SUM(G9/E9)</f>
        <v>0.22222222222222221</v>
      </c>
      <c r="H10" s="21">
        <f>SUM(H9/E9)</f>
        <v>0</v>
      </c>
      <c r="I10" s="21">
        <f>SUM(I9/E9)</f>
        <v>0</v>
      </c>
      <c r="J10" s="21">
        <f>SUM(J9/E9)</f>
        <v>0</v>
      </c>
      <c r="K10" s="21">
        <f>SUM(K9/E9)</f>
        <v>0.1111111111111111</v>
      </c>
      <c r="L10" s="21">
        <f>SUM(L9/E9)</f>
        <v>0</v>
      </c>
      <c r="M10" s="21">
        <f>SUM(M9/E9)</f>
        <v>0.22222222222222221</v>
      </c>
      <c r="N10" s="21">
        <f>SUM(N9/E9)</f>
        <v>0</v>
      </c>
      <c r="O10" s="21">
        <f>SUM(O9/E9)</f>
        <v>0.22222222222222221</v>
      </c>
      <c r="P10" s="21">
        <f>SUM(P9/E9)</f>
        <v>0</v>
      </c>
      <c r="Q10" s="21">
        <f>SUM(Q9/E9)</f>
        <v>0.22222222222222221</v>
      </c>
      <c r="R10" s="20">
        <f>SUM(F10:Q10)</f>
        <v>1</v>
      </c>
    </row>
    <row r="11" spans="2:21" ht="18.75" customHeight="1">
      <c r="B11" s="97"/>
      <c r="C11" s="66"/>
      <c r="D11" s="69"/>
      <c r="E11" s="93" t="s">
        <v>28</v>
      </c>
      <c r="F11" s="22"/>
      <c r="G11" s="22"/>
      <c r="H11" s="22"/>
      <c r="I11" s="22"/>
      <c r="J11" s="22"/>
      <c r="K11" s="30"/>
      <c r="L11" s="22"/>
      <c r="M11" s="22"/>
      <c r="N11" s="22"/>
      <c r="O11" s="22"/>
      <c r="P11" s="22"/>
      <c r="Q11" s="22"/>
      <c r="R11" s="23"/>
      <c r="S11" s="12"/>
    </row>
    <row r="12" spans="2:21" ht="33" customHeight="1" thickBot="1">
      <c r="B12" s="98"/>
      <c r="C12" s="67"/>
      <c r="D12" s="70"/>
      <c r="E12" s="94"/>
      <c r="F12" s="24">
        <f>+F11/E9</f>
        <v>0</v>
      </c>
      <c r="G12" s="24">
        <f>+G11/E9</f>
        <v>0</v>
      </c>
      <c r="H12" s="24">
        <f>+H11/E9</f>
        <v>0</v>
      </c>
      <c r="I12" s="24">
        <f>+I11/E9</f>
        <v>0</v>
      </c>
      <c r="J12" s="24">
        <f>+J11/E9</f>
        <v>0</v>
      </c>
      <c r="K12" s="24">
        <f>+K11/E9</f>
        <v>0</v>
      </c>
      <c r="L12" s="24">
        <f>+L11/E9</f>
        <v>0</v>
      </c>
      <c r="M12" s="24">
        <f>+M11/E9</f>
        <v>0</v>
      </c>
      <c r="N12" s="24">
        <f>+N11/E9</f>
        <v>0</v>
      </c>
      <c r="O12" s="24">
        <f>+O11/E9</f>
        <v>0</v>
      </c>
      <c r="P12" s="24">
        <f>+P11/E9</f>
        <v>0</v>
      </c>
      <c r="Q12" s="24">
        <f>+Q11/E9</f>
        <v>0</v>
      </c>
      <c r="R12" s="25">
        <f>SUM(F12:Q12)</f>
        <v>0</v>
      </c>
    </row>
    <row r="13" spans="2:21" ht="12.75" customHeight="1">
      <c r="N13" s="62" t="s">
        <v>29</v>
      </c>
      <c r="O13" s="62"/>
      <c r="P13" s="62"/>
      <c r="Q13" s="99">
        <f>+R11/E9</f>
        <v>0</v>
      </c>
      <c r="R13" s="100">
        <f>SUM(F13:Q13)</f>
        <v>0</v>
      </c>
    </row>
    <row r="14" spans="2:21" ht="13.5" customHeight="1" thickBot="1">
      <c r="D14" s="11"/>
      <c r="F14" s="26"/>
      <c r="J14" s="26"/>
      <c r="K14" s="26"/>
      <c r="L14" s="26"/>
      <c r="M14" s="26"/>
      <c r="N14" s="103"/>
      <c r="O14" s="103"/>
      <c r="P14" s="104"/>
      <c r="Q14" s="101">
        <f>SUM(G14:P14)</f>
        <v>0</v>
      </c>
      <c r="R14" s="102">
        <f>SUM(G14:Q14)</f>
        <v>0</v>
      </c>
    </row>
    <row r="15" spans="2:21" ht="9" customHeight="1" thickBot="1">
      <c r="F15" s="41"/>
      <c r="G15" s="26"/>
      <c r="H15" s="26"/>
      <c r="I15" s="26"/>
      <c r="J15" s="26"/>
      <c r="K15" s="31"/>
      <c r="L15" s="27"/>
      <c r="M15" s="26"/>
      <c r="N15" s="26"/>
      <c r="O15" s="26"/>
      <c r="P15" s="26"/>
      <c r="Q15" s="26"/>
    </row>
    <row r="16" spans="2:21" ht="11.25" hidden="1" customHeight="1" thickBot="1">
      <c r="F16" s="40"/>
      <c r="G16" s="32"/>
      <c r="H16" s="26"/>
      <c r="I16" s="26"/>
      <c r="J16" s="26"/>
      <c r="K16" s="33"/>
      <c r="L16" s="34"/>
      <c r="M16" s="26"/>
      <c r="N16" s="26"/>
      <c r="O16" s="26"/>
      <c r="P16" s="26"/>
      <c r="Q16" s="26"/>
      <c r="U16" s="13"/>
    </row>
    <row r="17" spans="2:17" ht="48" customHeight="1" thickBot="1">
      <c r="B17" s="55" t="s">
        <v>67</v>
      </c>
      <c r="C17" s="56"/>
      <c r="D17" s="56"/>
      <c r="E17" s="57"/>
      <c r="F17" s="26"/>
      <c r="G17" s="26"/>
      <c r="H17" s="26"/>
      <c r="I17" s="26"/>
      <c r="J17" s="26"/>
      <c r="K17" s="31"/>
      <c r="L17" s="31"/>
      <c r="M17" s="31"/>
      <c r="N17" s="27"/>
      <c r="O17" s="26"/>
      <c r="P17" s="26"/>
      <c r="Q17" s="26"/>
    </row>
    <row r="18" spans="2:17" ht="15">
      <c r="F18" s="26"/>
      <c r="G18" s="40"/>
      <c r="H18" s="40"/>
      <c r="I18" s="40"/>
      <c r="J18" s="40"/>
      <c r="K18" s="26"/>
      <c r="L18" s="26"/>
      <c r="M18" s="63"/>
      <c r="N18" s="63"/>
      <c r="O18" s="63"/>
      <c r="P18" s="63"/>
      <c r="Q18" s="63"/>
    </row>
    <row r="19" spans="2:17">
      <c r="F19" s="26"/>
      <c r="G19" s="27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2:17">
      <c r="F20" s="26"/>
      <c r="G20" s="26"/>
      <c r="H20" s="26"/>
      <c r="I20" s="26"/>
      <c r="J20" s="26"/>
      <c r="K20" s="26"/>
      <c r="L20" s="26"/>
      <c r="M20" s="26"/>
      <c r="N20" s="35"/>
      <c r="O20" s="26"/>
      <c r="P20" s="26"/>
      <c r="Q20" s="26"/>
    </row>
    <row r="21" spans="2:17">
      <c r="C21" t="s">
        <v>30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2:17" ht="14.25" customHeight="1"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2:17"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8"/>
    </row>
    <row r="24" spans="2:17"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2:17" ht="15">
      <c r="F25" s="40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2:17">
      <c r="C26" t="s">
        <v>30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2:17">
      <c r="C27" t="s">
        <v>30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2:17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2:17"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2:17" ht="15">
      <c r="F30" s="26"/>
      <c r="G30" s="40"/>
      <c r="H30" s="40"/>
      <c r="I30" s="40"/>
      <c r="J30" s="40"/>
      <c r="K30" s="26"/>
      <c r="L30" s="26"/>
      <c r="M30" s="26"/>
      <c r="N30" s="26"/>
      <c r="O30" s="26"/>
      <c r="P30" s="26"/>
      <c r="Q30" s="26"/>
    </row>
    <row r="31" spans="2:17" ht="20.25">
      <c r="G31" s="14"/>
      <c r="H31" s="15"/>
      <c r="I31" s="26"/>
      <c r="J31" s="26"/>
      <c r="K31" s="26"/>
      <c r="L31" s="26"/>
      <c r="M31" s="26"/>
      <c r="N31" s="26"/>
      <c r="O31" s="26"/>
      <c r="P31" s="26"/>
      <c r="Q31" s="26"/>
    </row>
    <row r="32" spans="2:17"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7:17"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7:17"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7:17"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</sheetData>
  <mergeCells count="16">
    <mergeCell ref="B2:E2"/>
    <mergeCell ref="B3:D3"/>
    <mergeCell ref="E3:E7"/>
    <mergeCell ref="F3:R4"/>
    <mergeCell ref="D4:D7"/>
    <mergeCell ref="F5:R5"/>
    <mergeCell ref="F6:R6"/>
    <mergeCell ref="N2:R2"/>
    <mergeCell ref="Q13:R14"/>
    <mergeCell ref="M18:Q18"/>
    <mergeCell ref="B9:B12"/>
    <mergeCell ref="C9:C12"/>
    <mergeCell ref="D9:D12"/>
    <mergeCell ref="E11:E12"/>
    <mergeCell ref="N13:P14"/>
    <mergeCell ref="B17:E17"/>
  </mergeCells>
  <pageMargins left="0.25" right="0.25" top="0.75" bottom="0.75" header="0.3" footer="0.3"/>
  <pageSetup scale="6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28"/>
  <sheetViews>
    <sheetView zoomScale="90" zoomScaleNormal="90" workbookViewId="0">
      <selection activeCell="R9" sqref="R9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4.5703125" customWidth="1"/>
    <col min="5" max="5" width="10.5703125" customWidth="1"/>
    <col min="6" max="13" width="9.28515625" customWidth="1"/>
    <col min="14" max="14" width="11.28515625" customWidth="1"/>
    <col min="15" max="15" width="9.28515625" customWidth="1"/>
    <col min="16" max="16" width="11" customWidth="1"/>
    <col min="17" max="17" width="9.28515625" customWidth="1"/>
    <col min="18" max="18" width="12.28515625" customWidth="1"/>
    <col min="19" max="256" width="11.42578125" customWidth="1"/>
  </cols>
  <sheetData>
    <row r="2" spans="2:19" ht="18.75" customHeight="1" thickBot="1">
      <c r="B2" s="95" t="s">
        <v>68</v>
      </c>
      <c r="C2" s="95"/>
      <c r="D2" s="95"/>
      <c r="E2" s="95"/>
      <c r="N2" s="77" t="s">
        <v>42</v>
      </c>
      <c r="O2" s="77"/>
      <c r="P2" s="77"/>
      <c r="Q2" s="77"/>
      <c r="R2" s="77"/>
    </row>
    <row r="3" spans="2:19" ht="13.5" thickBot="1">
      <c r="B3" s="71" t="s">
        <v>1</v>
      </c>
      <c r="C3" s="72"/>
      <c r="D3" s="73"/>
      <c r="E3" s="105" t="s">
        <v>2</v>
      </c>
      <c r="F3" s="87" t="s">
        <v>63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</row>
    <row r="4" spans="2:19">
      <c r="B4" s="1" t="s">
        <v>3</v>
      </c>
      <c r="C4" s="2" t="s">
        <v>4</v>
      </c>
      <c r="D4" s="74" t="s">
        <v>5</v>
      </c>
      <c r="E4" s="106"/>
      <c r="F4" s="90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2"/>
    </row>
    <row r="5" spans="2:19">
      <c r="B5" s="1" t="s">
        <v>6</v>
      </c>
      <c r="C5" s="2" t="s">
        <v>7</v>
      </c>
      <c r="D5" s="75"/>
      <c r="E5" s="106"/>
      <c r="F5" s="108" t="s">
        <v>8</v>
      </c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2:19">
      <c r="B6" s="1" t="s">
        <v>9</v>
      </c>
      <c r="C6" s="2" t="s">
        <v>10</v>
      </c>
      <c r="D6" s="75"/>
      <c r="E6" s="106"/>
      <c r="F6" s="111" t="s">
        <v>11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3"/>
    </row>
    <row r="7" spans="2:19" ht="13.5" thickBot="1">
      <c r="B7" s="3"/>
      <c r="C7" s="4"/>
      <c r="D7" s="76"/>
      <c r="E7" s="107"/>
      <c r="F7" s="5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7" t="s">
        <v>24</v>
      </c>
    </row>
    <row r="8" spans="2:19" ht="7.5" customHeight="1" thickBot="1">
      <c r="B8" s="8"/>
      <c r="C8" s="9"/>
      <c r="D8" s="9"/>
      <c r="E8" s="10"/>
      <c r="F8" s="10"/>
      <c r="G8" s="10"/>
      <c r="H8" s="10"/>
      <c r="I8" s="10"/>
      <c r="J8" s="10"/>
      <c r="K8" s="10"/>
      <c r="L8" s="10"/>
    </row>
    <row r="9" spans="2:19" ht="18.75" customHeight="1">
      <c r="B9" s="114" t="s">
        <v>52</v>
      </c>
      <c r="C9" s="64" t="s">
        <v>36</v>
      </c>
      <c r="D9" s="68" t="s">
        <v>48</v>
      </c>
      <c r="E9" s="138">
        <v>200</v>
      </c>
      <c r="F9" s="18">
        <v>0</v>
      </c>
      <c r="G9" s="37">
        <v>65</v>
      </c>
      <c r="H9" s="37">
        <v>0</v>
      </c>
      <c r="I9" s="37">
        <v>20</v>
      </c>
      <c r="J9" s="36">
        <v>0</v>
      </c>
      <c r="K9" s="36">
        <v>5</v>
      </c>
      <c r="L9" s="36">
        <v>0</v>
      </c>
      <c r="M9" s="37">
        <v>20</v>
      </c>
      <c r="N9" s="37">
        <v>0</v>
      </c>
      <c r="O9" s="37">
        <v>40</v>
      </c>
      <c r="P9" s="37">
        <v>0</v>
      </c>
      <c r="Q9" s="37">
        <v>50</v>
      </c>
      <c r="R9" s="17">
        <v>200</v>
      </c>
    </row>
    <row r="10" spans="2:19" ht="18.75" customHeight="1">
      <c r="B10" s="115"/>
      <c r="C10" s="65"/>
      <c r="D10" s="69"/>
      <c r="E10" s="20">
        <v>1</v>
      </c>
      <c r="F10" s="21">
        <f>SUM(F9/E9)</f>
        <v>0</v>
      </c>
      <c r="G10" s="21">
        <f>SUM(G9/E9)</f>
        <v>0.32500000000000001</v>
      </c>
      <c r="H10" s="21">
        <f>SUM(H9/E9)</f>
        <v>0</v>
      </c>
      <c r="I10" s="21">
        <f>SUM(I9/E9)</f>
        <v>0.1</v>
      </c>
      <c r="J10" s="21">
        <f>SUM(J9/E9)</f>
        <v>0</v>
      </c>
      <c r="K10" s="21">
        <f>SUM(K9/E9)</f>
        <v>2.5000000000000001E-2</v>
      </c>
      <c r="L10" s="21">
        <f>SUM(L9/E9)</f>
        <v>0</v>
      </c>
      <c r="M10" s="21">
        <f>SUM(M9/E9)</f>
        <v>0.1</v>
      </c>
      <c r="N10" s="21">
        <f>SUM(N9/E9)</f>
        <v>0</v>
      </c>
      <c r="O10" s="21">
        <f>SUM(O9/E9)</f>
        <v>0.2</v>
      </c>
      <c r="P10" s="21">
        <f>SUM(P9/E9)</f>
        <v>0</v>
      </c>
      <c r="Q10" s="21">
        <f>SUM(Q9/E9)</f>
        <v>0.25</v>
      </c>
      <c r="R10" s="20">
        <f t="shared" ref="R10:R14" si="0">SUM(F10:Q10)</f>
        <v>1</v>
      </c>
    </row>
    <row r="11" spans="2:19" ht="18.75" customHeight="1">
      <c r="B11" s="115"/>
      <c r="C11" s="66"/>
      <c r="D11" s="69"/>
      <c r="E11" s="93" t="s">
        <v>28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>
        <f>SUM(F11:Q11)</f>
        <v>0</v>
      </c>
      <c r="S11" s="12"/>
    </row>
    <row r="12" spans="2:19" ht="36" customHeight="1" thickBot="1">
      <c r="B12" s="116"/>
      <c r="C12" s="67"/>
      <c r="D12" s="70"/>
      <c r="E12" s="94"/>
      <c r="F12" s="24">
        <f>+F11/E9</f>
        <v>0</v>
      </c>
      <c r="G12" s="24">
        <f>+G11/E9</f>
        <v>0</v>
      </c>
      <c r="H12" s="24">
        <f>+H11/E9</f>
        <v>0</v>
      </c>
      <c r="I12" s="24">
        <f>+I11/E9</f>
        <v>0</v>
      </c>
      <c r="J12" s="24">
        <f>+J11/E9</f>
        <v>0</v>
      </c>
      <c r="K12" s="24">
        <f>+K11/E9</f>
        <v>0</v>
      </c>
      <c r="L12" s="24">
        <f>+L11/E9</f>
        <v>0</v>
      </c>
      <c r="M12" s="24">
        <f>+M11/E9</f>
        <v>0</v>
      </c>
      <c r="N12" s="24">
        <f>+N11/E9</f>
        <v>0</v>
      </c>
      <c r="O12" s="24">
        <f>+O11/E9</f>
        <v>0</v>
      </c>
      <c r="P12" s="24">
        <f>+P11/E9</f>
        <v>0</v>
      </c>
      <c r="Q12" s="24">
        <f>+Q11/E9</f>
        <v>0</v>
      </c>
      <c r="R12" s="25">
        <f t="shared" si="0"/>
        <v>0</v>
      </c>
    </row>
    <row r="13" spans="2:19" ht="12.75" customHeight="1">
      <c r="N13" s="62" t="s">
        <v>29</v>
      </c>
      <c r="O13" s="62"/>
      <c r="P13" s="62"/>
      <c r="Q13" s="99">
        <f>+R11/E9</f>
        <v>0</v>
      </c>
      <c r="R13" s="100">
        <f t="shared" si="0"/>
        <v>0</v>
      </c>
    </row>
    <row r="14" spans="2:19" ht="13.5" customHeight="1" thickBot="1">
      <c r="J14" s="26"/>
      <c r="K14" s="26"/>
      <c r="L14" s="26"/>
      <c r="M14" s="26"/>
      <c r="N14" s="103"/>
      <c r="O14" s="103"/>
      <c r="P14" s="104"/>
      <c r="Q14" s="101">
        <f>SUM(E14:P14)</f>
        <v>0</v>
      </c>
      <c r="R14" s="102">
        <f t="shared" si="0"/>
        <v>0</v>
      </c>
    </row>
    <row r="15" spans="2:19" ht="21" customHeight="1">
      <c r="B15" s="120" t="s">
        <v>37</v>
      </c>
      <c r="C15" s="121"/>
      <c r="D15" s="121"/>
      <c r="E15" s="122"/>
      <c r="F15" s="58"/>
      <c r="G15" s="58"/>
      <c r="H15" s="58"/>
      <c r="I15" s="58"/>
      <c r="J15" s="58"/>
      <c r="K15" s="26"/>
      <c r="L15" s="26"/>
      <c r="M15" s="63"/>
      <c r="N15" s="63"/>
      <c r="O15" s="63"/>
      <c r="P15" s="63"/>
      <c r="Q15" s="63"/>
    </row>
    <row r="16" spans="2:19" ht="34.5" customHeight="1">
      <c r="B16" s="117" t="s">
        <v>66</v>
      </c>
      <c r="C16" s="118"/>
      <c r="D16" s="118"/>
      <c r="E16" s="119"/>
      <c r="F16" s="26"/>
      <c r="G16" s="27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spans="2:17"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2:17"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2:17">
      <c r="C19" t="s">
        <v>30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2:17">
      <c r="B20" s="1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2:17"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2:17"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2:17" ht="15">
      <c r="F23" s="58"/>
      <c r="G23" s="58"/>
      <c r="H23" s="58"/>
      <c r="I23" s="58"/>
      <c r="J23" s="58"/>
      <c r="K23" s="26"/>
      <c r="L23" s="26"/>
      <c r="M23" s="26"/>
      <c r="N23" s="26"/>
      <c r="O23" s="26"/>
      <c r="P23" s="26"/>
      <c r="Q23" s="26"/>
    </row>
    <row r="24" spans="2:17" ht="20.25">
      <c r="C24" t="s">
        <v>30</v>
      </c>
      <c r="F24" s="26"/>
      <c r="G24" s="14"/>
      <c r="H24" s="15"/>
      <c r="I24" s="26"/>
      <c r="J24" s="26"/>
      <c r="K24" s="26"/>
      <c r="L24" s="26"/>
      <c r="M24" s="26"/>
      <c r="N24" s="26"/>
      <c r="O24" s="26"/>
      <c r="P24" s="26"/>
      <c r="Q24" s="26"/>
    </row>
    <row r="25" spans="2:17">
      <c r="C25" t="s">
        <v>30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2:17"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2:17"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2:17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</sheetData>
  <mergeCells count="19">
    <mergeCell ref="F15:J15"/>
    <mergeCell ref="M15:Q15"/>
    <mergeCell ref="F23:J23"/>
    <mergeCell ref="B9:B12"/>
    <mergeCell ref="C9:C12"/>
    <mergeCell ref="D9:D12"/>
    <mergeCell ref="E11:E12"/>
    <mergeCell ref="N13:P14"/>
    <mergeCell ref="Q13:R14"/>
    <mergeCell ref="B16:E16"/>
    <mergeCell ref="B15:E15"/>
    <mergeCell ref="B2:E2"/>
    <mergeCell ref="B3:D3"/>
    <mergeCell ref="E3:E7"/>
    <mergeCell ref="F3:R4"/>
    <mergeCell ref="D4:D7"/>
    <mergeCell ref="F5:R5"/>
    <mergeCell ref="F6:R6"/>
    <mergeCell ref="N2:R2"/>
  </mergeCells>
  <pageMargins left="0.25" right="0.25" top="0.75" bottom="0.75" header="0.3" footer="0.3"/>
  <pageSetup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29"/>
  <sheetViews>
    <sheetView zoomScale="90" zoomScaleNormal="90" workbookViewId="0">
      <selection activeCell="E9" sqref="E9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7" customWidth="1"/>
    <col min="4" max="4" width="13.28515625" customWidth="1"/>
    <col min="5" max="5" width="10" customWidth="1"/>
    <col min="6" max="6" width="8.28515625" customWidth="1"/>
    <col min="7" max="7" width="8.7109375" customWidth="1"/>
    <col min="8" max="8" width="7.7109375" customWidth="1"/>
    <col min="9" max="9" width="7.28515625" customWidth="1"/>
    <col min="10" max="10" width="7.7109375" customWidth="1"/>
    <col min="11" max="11" width="8" customWidth="1"/>
    <col min="12" max="12" width="7.28515625" customWidth="1"/>
    <col min="13" max="13" width="7.5703125" customWidth="1"/>
    <col min="14" max="14" width="11.42578125" customWidth="1"/>
    <col min="15" max="15" width="9.28515625" customWidth="1"/>
    <col min="16" max="16" width="11" customWidth="1"/>
    <col min="17" max="17" width="9.28515625" customWidth="1"/>
    <col min="18" max="18" width="9.85546875" customWidth="1"/>
    <col min="19" max="256" width="11.42578125" customWidth="1"/>
  </cols>
  <sheetData>
    <row r="2" spans="2:19" ht="18.75" customHeight="1" thickBot="1">
      <c r="B2" s="95" t="s">
        <v>68</v>
      </c>
      <c r="C2" s="95"/>
      <c r="D2" s="95"/>
      <c r="E2" s="95"/>
      <c r="N2" s="77" t="s">
        <v>43</v>
      </c>
      <c r="O2" s="77"/>
      <c r="P2" s="77"/>
      <c r="Q2" s="77"/>
      <c r="R2" s="77"/>
    </row>
    <row r="3" spans="2:19" ht="13.5" thickBot="1">
      <c r="B3" s="71" t="s">
        <v>1</v>
      </c>
      <c r="C3" s="72"/>
      <c r="D3" s="73"/>
      <c r="E3" s="105" t="s">
        <v>2</v>
      </c>
      <c r="F3" s="87" t="s">
        <v>63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</row>
    <row r="4" spans="2:19">
      <c r="B4" s="1" t="s">
        <v>3</v>
      </c>
      <c r="C4" s="2" t="s">
        <v>4</v>
      </c>
      <c r="D4" s="74" t="s">
        <v>5</v>
      </c>
      <c r="E4" s="106"/>
      <c r="F4" s="90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2"/>
    </row>
    <row r="5" spans="2:19">
      <c r="B5" s="1" t="s">
        <v>6</v>
      </c>
      <c r="C5" s="2" t="s">
        <v>7</v>
      </c>
      <c r="D5" s="75"/>
      <c r="E5" s="106"/>
      <c r="F5" s="108" t="s">
        <v>8</v>
      </c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2:19">
      <c r="B6" s="1" t="s">
        <v>9</v>
      </c>
      <c r="C6" s="2" t="s">
        <v>10</v>
      </c>
      <c r="D6" s="75"/>
      <c r="E6" s="106"/>
      <c r="F6" s="111" t="s">
        <v>11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3"/>
    </row>
    <row r="7" spans="2:19" ht="13.5" thickBot="1">
      <c r="B7" s="3"/>
      <c r="C7" s="4"/>
      <c r="D7" s="76"/>
      <c r="E7" s="107"/>
      <c r="F7" s="5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7" t="s">
        <v>24</v>
      </c>
    </row>
    <row r="8" spans="2:19" ht="7.5" customHeight="1" thickBot="1">
      <c r="B8" s="8"/>
      <c r="C8" s="9"/>
      <c r="D8" s="9"/>
      <c r="E8" s="10"/>
      <c r="F8" s="10"/>
      <c r="G8" s="10"/>
      <c r="H8" s="10"/>
      <c r="I8" s="10"/>
      <c r="J8" s="10"/>
      <c r="K8" s="10"/>
      <c r="L8" s="10"/>
    </row>
    <row r="9" spans="2:19" ht="16.5" customHeight="1">
      <c r="B9" s="96" t="s">
        <v>53</v>
      </c>
      <c r="C9" s="123" t="s">
        <v>62</v>
      </c>
      <c r="D9" s="126" t="s">
        <v>27</v>
      </c>
      <c r="E9" s="17">
        <v>265</v>
      </c>
      <c r="F9" s="18">
        <v>30</v>
      </c>
      <c r="G9" s="36">
        <v>30</v>
      </c>
      <c r="H9" s="36">
        <v>25</v>
      </c>
      <c r="I9" s="36">
        <v>0</v>
      </c>
      <c r="J9" s="36">
        <v>0</v>
      </c>
      <c r="K9" s="36">
        <v>0</v>
      </c>
      <c r="L9" s="36">
        <v>20</v>
      </c>
      <c r="M9" s="37">
        <v>30</v>
      </c>
      <c r="N9" s="37">
        <v>30</v>
      </c>
      <c r="O9" s="37">
        <v>40</v>
      </c>
      <c r="P9" s="37">
        <v>40</v>
      </c>
      <c r="Q9" s="37">
        <v>20</v>
      </c>
      <c r="R9" s="17">
        <v>265</v>
      </c>
    </row>
    <row r="10" spans="2:19" ht="17.25" customHeight="1">
      <c r="B10" s="97"/>
      <c r="C10" s="124"/>
      <c r="D10" s="127"/>
      <c r="E10" s="20">
        <v>1</v>
      </c>
      <c r="F10" s="21">
        <f>SUM(F9/E9)</f>
        <v>0.11320754716981132</v>
      </c>
      <c r="G10" s="21">
        <f>SUM(G9/E9)</f>
        <v>0.11320754716981132</v>
      </c>
      <c r="H10" s="21">
        <f>SUM(H9/E9)</f>
        <v>9.4339622641509441E-2</v>
      </c>
      <c r="I10" s="21">
        <f>SUM(I9/E9)</f>
        <v>0</v>
      </c>
      <c r="J10" s="21">
        <f>SUM(J9/E9)</f>
        <v>0</v>
      </c>
      <c r="K10" s="21">
        <f>SUM(K9/E9)</f>
        <v>0</v>
      </c>
      <c r="L10" s="21">
        <f>SUM(L9/E9)</f>
        <v>7.5471698113207544E-2</v>
      </c>
      <c r="M10" s="21">
        <f>SUM(M9/E9)</f>
        <v>0.11320754716981132</v>
      </c>
      <c r="N10" s="21">
        <f>SUM(N9/E9)</f>
        <v>0.11320754716981132</v>
      </c>
      <c r="O10" s="21">
        <f>SUM(O9/E9)</f>
        <v>0.15094339622641509</v>
      </c>
      <c r="P10" s="21">
        <f>SUM(P9/E9)</f>
        <v>0.15094339622641509</v>
      </c>
      <c r="Q10" s="21">
        <f>SUM(Q9/E9)</f>
        <v>7.5471698113207544E-2</v>
      </c>
      <c r="R10" s="20">
        <f t="shared" ref="R10:R14" si="0">SUM(F10:Q10)</f>
        <v>0.99999999999999989</v>
      </c>
    </row>
    <row r="11" spans="2:19" ht="16.5" customHeight="1">
      <c r="B11" s="97"/>
      <c r="C11" s="124"/>
      <c r="D11" s="127"/>
      <c r="E11" s="93" t="s">
        <v>28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>
        <f>SUM(F11:Q11)</f>
        <v>0</v>
      </c>
      <c r="S11" s="12"/>
    </row>
    <row r="12" spans="2:19" ht="17.25" customHeight="1" thickBot="1">
      <c r="B12" s="98"/>
      <c r="C12" s="125"/>
      <c r="D12" s="128"/>
      <c r="E12" s="94"/>
      <c r="F12" s="24">
        <f>+F11/E9</f>
        <v>0</v>
      </c>
      <c r="G12" s="24">
        <f>+G11/E9</f>
        <v>0</v>
      </c>
      <c r="H12" s="24">
        <f>+H11/E9</f>
        <v>0</v>
      </c>
      <c r="I12" s="24">
        <f>+I11/E9</f>
        <v>0</v>
      </c>
      <c r="J12" s="24">
        <f>+J11/E9</f>
        <v>0</v>
      </c>
      <c r="K12" s="24">
        <f>+K11/E9</f>
        <v>0</v>
      </c>
      <c r="L12" s="24">
        <f t="shared" ref="L12" si="1">+L11/E9</f>
        <v>0</v>
      </c>
      <c r="M12" s="24">
        <f>+M11/E9</f>
        <v>0</v>
      </c>
      <c r="N12" s="24">
        <f>+N11/E9</f>
        <v>0</v>
      </c>
      <c r="O12" s="24">
        <f>+O11/E9</f>
        <v>0</v>
      </c>
      <c r="P12" s="24">
        <f>+P11/E9</f>
        <v>0</v>
      </c>
      <c r="Q12" s="24">
        <f>+Q11/E9</f>
        <v>0</v>
      </c>
      <c r="R12" s="25">
        <f>SUM(F12:Q12)</f>
        <v>0</v>
      </c>
    </row>
    <row r="13" spans="2:19" ht="12.75" customHeight="1">
      <c r="N13" s="62" t="s">
        <v>29</v>
      </c>
      <c r="O13" s="62"/>
      <c r="P13" s="62"/>
      <c r="Q13" s="99">
        <f>+R11/E9</f>
        <v>0</v>
      </c>
      <c r="R13" s="100">
        <f t="shared" si="0"/>
        <v>0</v>
      </c>
    </row>
    <row r="14" spans="2:19" ht="13.5" customHeight="1" thickBot="1">
      <c r="J14" s="26"/>
      <c r="K14" s="26"/>
      <c r="L14" s="26"/>
      <c r="M14" s="26"/>
      <c r="N14" s="103"/>
      <c r="O14" s="103"/>
      <c r="P14" s="104"/>
      <c r="Q14" s="101">
        <f>SUM(E14:P14)</f>
        <v>0</v>
      </c>
      <c r="R14" s="102">
        <f t="shared" si="0"/>
        <v>0</v>
      </c>
    </row>
    <row r="15" spans="2:19" ht="9" customHeight="1" thickBot="1">
      <c r="D15" s="11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2:19" ht="16.5" hidden="1" thickBot="1">
      <c r="F16" s="61"/>
      <c r="G16" s="61"/>
      <c r="H16" s="61"/>
      <c r="I16" s="61"/>
      <c r="J16" s="61"/>
      <c r="K16" s="26"/>
      <c r="L16" s="26"/>
      <c r="M16" s="61"/>
      <c r="N16" s="61"/>
      <c r="O16" s="61"/>
      <c r="P16" s="61"/>
      <c r="Q16" s="61"/>
      <c r="R16" s="12"/>
    </row>
    <row r="17" spans="2:17" ht="15.75" hidden="1" thickBot="1">
      <c r="F17" s="58"/>
      <c r="G17" s="58"/>
      <c r="H17" s="58"/>
      <c r="I17" s="58"/>
      <c r="J17" s="58"/>
      <c r="K17" s="26"/>
      <c r="L17" s="26"/>
      <c r="M17" s="63"/>
      <c r="N17" s="63"/>
      <c r="O17" s="63"/>
      <c r="P17" s="63"/>
      <c r="Q17" s="63"/>
    </row>
    <row r="18" spans="2:17" ht="60" customHeight="1" thickBot="1">
      <c r="B18" s="55" t="s">
        <v>65</v>
      </c>
      <c r="C18" s="56"/>
      <c r="D18" s="56"/>
      <c r="E18" s="57"/>
      <c r="F18" s="26"/>
      <c r="G18" s="27"/>
      <c r="H18" s="39"/>
      <c r="I18" s="26"/>
      <c r="J18" s="26"/>
      <c r="K18" s="26"/>
      <c r="L18" s="26"/>
      <c r="M18" s="26"/>
      <c r="N18" s="26"/>
      <c r="O18" s="26"/>
      <c r="P18" s="26"/>
      <c r="Q18" s="26"/>
    </row>
    <row r="19" spans="2:17">
      <c r="F19" s="26"/>
      <c r="G19" s="26"/>
      <c r="H19" s="26"/>
      <c r="I19" s="129"/>
      <c r="J19" s="129"/>
      <c r="K19" s="129"/>
      <c r="L19" s="129"/>
      <c r="M19" s="129"/>
      <c r="N19" s="129"/>
      <c r="O19" s="129"/>
      <c r="P19" s="129"/>
      <c r="Q19" s="28"/>
    </row>
    <row r="20" spans="2:17">
      <c r="C20" t="s">
        <v>30</v>
      </c>
      <c r="F20" s="26"/>
      <c r="G20" s="26"/>
      <c r="H20" s="26"/>
      <c r="I20" s="38"/>
      <c r="J20" s="38"/>
      <c r="K20" s="38"/>
      <c r="L20" s="38"/>
      <c r="M20" s="38"/>
      <c r="N20" s="38"/>
      <c r="O20" s="38"/>
      <c r="P20" s="38"/>
      <c r="Q20" s="26"/>
    </row>
    <row r="21" spans="2:17"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2:17"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2:17"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2:17" ht="15">
      <c r="F24" s="58"/>
      <c r="G24" s="58"/>
      <c r="H24" s="58"/>
      <c r="I24" s="58"/>
      <c r="J24" s="58"/>
      <c r="K24" s="26"/>
      <c r="L24" s="26"/>
      <c r="M24" s="26"/>
      <c r="N24" s="26"/>
      <c r="O24" s="26"/>
      <c r="P24" s="26"/>
      <c r="Q24" s="26"/>
    </row>
    <row r="25" spans="2:17" ht="20.25">
      <c r="C25" t="s">
        <v>30</v>
      </c>
      <c r="F25" s="26"/>
      <c r="G25" s="14"/>
      <c r="H25" s="15"/>
      <c r="I25" s="26"/>
      <c r="J25" s="26"/>
      <c r="K25" s="26"/>
      <c r="L25" s="26"/>
      <c r="M25" s="26"/>
      <c r="N25" s="26"/>
      <c r="O25" s="26"/>
      <c r="P25" s="26"/>
      <c r="Q25" s="26"/>
    </row>
    <row r="26" spans="2:17">
      <c r="C26" t="s">
        <v>30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2:17"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2:17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2:17"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</sheetData>
  <mergeCells count="21">
    <mergeCell ref="B18:E18"/>
    <mergeCell ref="I19:P19"/>
    <mergeCell ref="F24:J24"/>
    <mergeCell ref="Q13:R14"/>
    <mergeCell ref="F16:J16"/>
    <mergeCell ref="M16:Q16"/>
    <mergeCell ref="F17:J17"/>
    <mergeCell ref="M17:Q17"/>
    <mergeCell ref="B2:E2"/>
    <mergeCell ref="B3:D3"/>
    <mergeCell ref="E3:E7"/>
    <mergeCell ref="F3:R4"/>
    <mergeCell ref="D4:D7"/>
    <mergeCell ref="F5:R5"/>
    <mergeCell ref="F6:R6"/>
    <mergeCell ref="N2:R2"/>
    <mergeCell ref="B9:B12"/>
    <mergeCell ref="C9:C12"/>
    <mergeCell ref="D9:D12"/>
    <mergeCell ref="E11:E12"/>
    <mergeCell ref="N13:P14"/>
  </mergeCells>
  <pageMargins left="0.25" right="0.25" top="0.75" bottom="0.75" header="0.3" footer="0.3"/>
  <pageSetup paperSize="9" scale="7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29"/>
  <sheetViews>
    <sheetView zoomScale="90" zoomScaleNormal="90" workbookViewId="0">
      <selection activeCell="R9" sqref="R9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2.85546875" customWidth="1"/>
    <col min="5" max="5" width="10" customWidth="1"/>
    <col min="6" max="6" width="7.85546875" customWidth="1"/>
    <col min="7" max="7" width="9.28515625" customWidth="1"/>
    <col min="8" max="8" width="7.85546875" customWidth="1"/>
    <col min="9" max="9" width="7" customWidth="1"/>
    <col min="10" max="10" width="8.140625" customWidth="1"/>
    <col min="11" max="11" width="7.42578125" customWidth="1"/>
    <col min="12" max="12" width="7.7109375" customWidth="1"/>
    <col min="13" max="13" width="8.42578125" customWidth="1"/>
    <col min="14" max="14" width="11.28515625" customWidth="1"/>
    <col min="15" max="15" width="9.28515625" customWidth="1"/>
    <col min="16" max="16" width="11" customWidth="1"/>
    <col min="17" max="17" width="9.28515625" customWidth="1"/>
    <col min="18" max="18" width="9.7109375" customWidth="1"/>
    <col min="19" max="256" width="11.42578125" customWidth="1"/>
  </cols>
  <sheetData>
    <row r="2" spans="2:19" ht="18.75" customHeight="1" thickBot="1">
      <c r="B2" s="95" t="s">
        <v>69</v>
      </c>
      <c r="C2" s="95"/>
      <c r="D2" s="95"/>
      <c r="E2" s="95"/>
      <c r="N2" s="77" t="s">
        <v>44</v>
      </c>
      <c r="O2" s="77"/>
      <c r="P2" s="77"/>
      <c r="Q2" s="77"/>
      <c r="R2" s="77"/>
    </row>
    <row r="3" spans="2:19" ht="13.5" thickBot="1">
      <c r="B3" s="71" t="s">
        <v>1</v>
      </c>
      <c r="C3" s="72"/>
      <c r="D3" s="73"/>
      <c r="E3" s="105" t="s">
        <v>2</v>
      </c>
      <c r="F3" s="87" t="s">
        <v>63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</row>
    <row r="4" spans="2:19">
      <c r="B4" s="1" t="s">
        <v>3</v>
      </c>
      <c r="C4" s="2" t="s">
        <v>4</v>
      </c>
      <c r="D4" s="74" t="s">
        <v>5</v>
      </c>
      <c r="E4" s="106"/>
      <c r="F4" s="90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2"/>
    </row>
    <row r="5" spans="2:19">
      <c r="B5" s="1" t="s">
        <v>6</v>
      </c>
      <c r="C5" s="2" t="s">
        <v>7</v>
      </c>
      <c r="D5" s="75"/>
      <c r="E5" s="106"/>
      <c r="F5" s="108" t="s">
        <v>8</v>
      </c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2:19">
      <c r="B6" s="1" t="s">
        <v>9</v>
      </c>
      <c r="C6" s="2" t="s">
        <v>10</v>
      </c>
      <c r="D6" s="75"/>
      <c r="E6" s="106"/>
      <c r="F6" s="111" t="s">
        <v>11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3"/>
    </row>
    <row r="7" spans="2:19" ht="13.5" thickBot="1">
      <c r="B7" s="3"/>
      <c r="C7" s="4"/>
      <c r="D7" s="76"/>
      <c r="E7" s="107"/>
      <c r="F7" s="5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7" t="s">
        <v>24</v>
      </c>
    </row>
    <row r="8" spans="2:19" ht="7.5" customHeight="1" thickBot="1">
      <c r="B8" s="8"/>
      <c r="C8" s="9"/>
      <c r="D8" s="9"/>
      <c r="E8" s="10"/>
      <c r="F8" s="10"/>
      <c r="G8" s="10"/>
      <c r="H8" s="10"/>
      <c r="I8" s="10"/>
      <c r="J8" s="10"/>
      <c r="K8" s="10"/>
      <c r="L8" s="10"/>
    </row>
    <row r="9" spans="2:19" ht="18.75" customHeight="1">
      <c r="B9" s="96" t="s">
        <v>51</v>
      </c>
      <c r="C9" s="64" t="s">
        <v>46</v>
      </c>
      <c r="D9" s="126" t="s">
        <v>48</v>
      </c>
      <c r="E9" s="138">
        <v>905</v>
      </c>
      <c r="F9" s="18">
        <v>85</v>
      </c>
      <c r="G9" s="36">
        <v>100</v>
      </c>
      <c r="H9" s="36">
        <v>120</v>
      </c>
      <c r="I9" s="36">
        <v>50</v>
      </c>
      <c r="J9" s="36">
        <v>45</v>
      </c>
      <c r="K9" s="36">
        <v>40</v>
      </c>
      <c r="L9" s="36">
        <v>30</v>
      </c>
      <c r="M9" s="37">
        <v>40</v>
      </c>
      <c r="N9" s="37">
        <v>130</v>
      </c>
      <c r="O9" s="37">
        <v>120</v>
      </c>
      <c r="P9" s="37">
        <v>120</v>
      </c>
      <c r="Q9" s="37">
        <v>25</v>
      </c>
      <c r="R9" s="138">
        <v>905</v>
      </c>
    </row>
    <row r="10" spans="2:19" ht="18.75" customHeight="1">
      <c r="B10" s="97"/>
      <c r="C10" s="65"/>
      <c r="D10" s="127"/>
      <c r="E10" s="20">
        <v>1</v>
      </c>
      <c r="F10" s="21">
        <f>SUM(F9/E9)</f>
        <v>9.3922651933701654E-2</v>
      </c>
      <c r="G10" s="21">
        <f>SUM(G9/E9)</f>
        <v>0.11049723756906077</v>
      </c>
      <c r="H10" s="21">
        <f>SUM(H9/E9)</f>
        <v>0.13259668508287292</v>
      </c>
      <c r="I10" s="21">
        <f>SUM(I9/E9)</f>
        <v>5.5248618784530384E-2</v>
      </c>
      <c r="J10" s="21">
        <f>SUM(J9/E9)</f>
        <v>4.9723756906077346E-2</v>
      </c>
      <c r="K10" s="21">
        <f>SUM(K9/E9)</f>
        <v>4.4198895027624308E-2</v>
      </c>
      <c r="L10" s="21">
        <f>SUM(L9/E9)</f>
        <v>3.3149171270718231E-2</v>
      </c>
      <c r="M10" s="21">
        <f>SUM(M9/E9)</f>
        <v>4.4198895027624308E-2</v>
      </c>
      <c r="N10" s="21">
        <f>SUM(N9/E9)</f>
        <v>0.143646408839779</v>
      </c>
      <c r="O10" s="21">
        <f>SUM(O9/E9)</f>
        <v>0.13259668508287292</v>
      </c>
      <c r="P10" s="21">
        <f>SUM(P9/E9)</f>
        <v>0.13259668508287292</v>
      </c>
      <c r="Q10" s="21">
        <f>SUM(Q9/E9)</f>
        <v>2.7624309392265192E-2</v>
      </c>
      <c r="R10" s="20">
        <f t="shared" ref="R10:R14" si="0">SUM(F10:Q10)</f>
        <v>1</v>
      </c>
    </row>
    <row r="11" spans="2:19" ht="18.75" customHeight="1">
      <c r="B11" s="97"/>
      <c r="C11" s="65"/>
      <c r="D11" s="127"/>
      <c r="E11" s="93" t="s">
        <v>28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42"/>
      <c r="Q11" s="22"/>
      <c r="R11" s="23">
        <f t="shared" si="0"/>
        <v>0</v>
      </c>
      <c r="S11" s="12"/>
    </row>
    <row r="12" spans="2:19" ht="48" customHeight="1" thickBot="1">
      <c r="B12" s="98"/>
      <c r="C12" s="130"/>
      <c r="D12" s="128"/>
      <c r="E12" s="94"/>
      <c r="F12" s="24">
        <f>+F11/E9</f>
        <v>0</v>
      </c>
      <c r="G12" s="24">
        <f>+G11/E9</f>
        <v>0</v>
      </c>
      <c r="H12" s="24">
        <f>+H11/E9</f>
        <v>0</v>
      </c>
      <c r="I12" s="24">
        <f>+I11/E9</f>
        <v>0</v>
      </c>
      <c r="J12" s="24">
        <f>+J11/E9</f>
        <v>0</v>
      </c>
      <c r="K12" s="24">
        <f>+K11/E9</f>
        <v>0</v>
      </c>
      <c r="L12" s="24">
        <f t="shared" ref="L12" si="1">+L11/E9</f>
        <v>0</v>
      </c>
      <c r="M12" s="24">
        <f>+M11/E9</f>
        <v>0</v>
      </c>
      <c r="N12" s="24">
        <f>+N11/E9</f>
        <v>0</v>
      </c>
      <c r="O12" s="24">
        <f>+O11/E9</f>
        <v>0</v>
      </c>
      <c r="P12" s="24">
        <f>+P11/E9</f>
        <v>0</v>
      </c>
      <c r="Q12" s="24">
        <f>+Q11/E9</f>
        <v>0</v>
      </c>
      <c r="R12" s="25">
        <f>SUM(F12:Q12)</f>
        <v>0</v>
      </c>
    </row>
    <row r="13" spans="2:19" ht="12.75" customHeight="1">
      <c r="N13" s="62" t="s">
        <v>29</v>
      </c>
      <c r="O13" s="62"/>
      <c r="P13" s="62"/>
      <c r="Q13" s="99">
        <f>+R11/E9</f>
        <v>0</v>
      </c>
      <c r="R13" s="100">
        <f t="shared" si="0"/>
        <v>0</v>
      </c>
    </row>
    <row r="14" spans="2:19" ht="13.5" customHeight="1" thickBot="1">
      <c r="J14" s="26"/>
      <c r="K14" s="26"/>
      <c r="L14" s="26"/>
      <c r="M14" s="26"/>
      <c r="N14" s="103"/>
      <c r="O14" s="103"/>
      <c r="P14" s="104"/>
      <c r="Q14" s="101">
        <f>SUM(E14:P14)</f>
        <v>0</v>
      </c>
      <c r="R14" s="102">
        <f t="shared" si="0"/>
        <v>0</v>
      </c>
    </row>
    <row r="15" spans="2:19" ht="9" customHeight="1" thickBot="1">
      <c r="D15" s="11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2:19" ht="16.5" hidden="1" thickBot="1">
      <c r="F16" s="61"/>
      <c r="G16" s="61"/>
      <c r="H16" s="61"/>
      <c r="I16" s="61"/>
      <c r="J16" s="61"/>
      <c r="K16" s="26"/>
      <c r="L16" s="26"/>
      <c r="M16" s="61"/>
      <c r="N16" s="61"/>
      <c r="O16" s="61"/>
      <c r="P16" s="61"/>
      <c r="Q16" s="61"/>
      <c r="R16" s="12"/>
    </row>
    <row r="17" spans="2:17" ht="15.75" hidden="1" thickBot="1">
      <c r="F17" s="58"/>
      <c r="G17" s="58"/>
      <c r="H17" s="58"/>
      <c r="I17" s="58"/>
      <c r="J17" s="58"/>
      <c r="K17" s="26"/>
      <c r="L17" s="26"/>
      <c r="M17" s="63"/>
      <c r="N17" s="63"/>
      <c r="O17" s="63"/>
      <c r="P17" s="63"/>
      <c r="Q17" s="63"/>
    </row>
    <row r="18" spans="2:17" ht="68.25" customHeight="1" thickBot="1">
      <c r="B18" s="55" t="s">
        <v>64</v>
      </c>
      <c r="C18" s="56"/>
      <c r="D18" s="56"/>
      <c r="E18" s="57"/>
      <c r="F18" s="26"/>
      <c r="G18" s="27"/>
      <c r="H18" s="39"/>
      <c r="I18" s="26"/>
      <c r="J18" s="26"/>
      <c r="K18" s="26"/>
      <c r="L18" s="26"/>
      <c r="M18" s="26"/>
      <c r="N18" s="26"/>
      <c r="O18" s="26"/>
      <c r="P18" s="26"/>
      <c r="Q18" s="26"/>
    </row>
    <row r="19" spans="2:17">
      <c r="F19" s="26"/>
      <c r="G19" s="26"/>
      <c r="H19" s="26"/>
      <c r="I19" s="129"/>
      <c r="J19" s="129"/>
      <c r="K19" s="129"/>
      <c r="L19" s="129"/>
      <c r="M19" s="129"/>
      <c r="N19" s="129"/>
      <c r="O19" s="129"/>
      <c r="P19" s="129"/>
      <c r="Q19" s="28"/>
    </row>
    <row r="20" spans="2:17">
      <c r="C20" t="s">
        <v>30</v>
      </c>
      <c r="F20" s="26"/>
      <c r="G20" s="26"/>
      <c r="H20" s="26"/>
      <c r="I20" s="38"/>
      <c r="J20" s="38"/>
      <c r="K20" s="38"/>
      <c r="L20" s="38"/>
      <c r="M20" s="38"/>
      <c r="N20" s="38"/>
      <c r="O20" s="38"/>
      <c r="P20" s="38"/>
      <c r="Q20" s="26"/>
    </row>
    <row r="21" spans="2:17"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2:17"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2:17"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2:17" ht="15">
      <c r="F24" s="58"/>
      <c r="G24" s="58"/>
      <c r="H24" s="58"/>
      <c r="I24" s="58"/>
      <c r="J24" s="58"/>
      <c r="K24" s="26"/>
      <c r="L24" s="26"/>
      <c r="M24" s="26"/>
      <c r="N24" s="26"/>
      <c r="O24" s="26"/>
      <c r="P24" s="26"/>
      <c r="Q24" s="26"/>
    </row>
    <row r="25" spans="2:17" ht="20.25">
      <c r="C25" t="s">
        <v>30</v>
      </c>
      <c r="F25" s="26"/>
      <c r="G25" s="14"/>
      <c r="H25" s="15"/>
      <c r="I25" s="26"/>
      <c r="J25" s="26"/>
      <c r="K25" s="26"/>
      <c r="L25" s="26"/>
      <c r="M25" s="26"/>
      <c r="N25" s="26"/>
      <c r="O25" s="26"/>
      <c r="P25" s="26"/>
      <c r="Q25" s="26"/>
    </row>
    <row r="26" spans="2:17">
      <c r="C26" t="s">
        <v>30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2:17"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2:17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2:17"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</sheetData>
  <mergeCells count="21">
    <mergeCell ref="F24:J24"/>
    <mergeCell ref="F16:J16"/>
    <mergeCell ref="M16:Q16"/>
    <mergeCell ref="F17:J17"/>
    <mergeCell ref="M17:Q17"/>
    <mergeCell ref="B18:E18"/>
    <mergeCell ref="I19:P19"/>
    <mergeCell ref="B9:B12"/>
    <mergeCell ref="C9:C12"/>
    <mergeCell ref="D9:D12"/>
    <mergeCell ref="E11:E12"/>
    <mergeCell ref="N13:P14"/>
    <mergeCell ref="Q13:R14"/>
    <mergeCell ref="B2:E2"/>
    <mergeCell ref="B3:D3"/>
    <mergeCell ref="E3:E7"/>
    <mergeCell ref="F3:R4"/>
    <mergeCell ref="D4:D7"/>
    <mergeCell ref="F5:R5"/>
    <mergeCell ref="F6:R6"/>
    <mergeCell ref="N2:R2"/>
  </mergeCells>
  <pageMargins left="0.25" right="0.25" top="0.75" bottom="0.75" header="0.3" footer="0.3"/>
  <pageSetup paperSize="9" scale="7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29"/>
  <sheetViews>
    <sheetView zoomScale="90" zoomScaleNormal="90" workbookViewId="0">
      <selection activeCell="Q9" sqref="Q9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3.140625" customWidth="1"/>
    <col min="5" max="5" width="9.42578125" customWidth="1"/>
    <col min="6" max="6" width="8.140625" customWidth="1"/>
    <col min="7" max="7" width="9.28515625" customWidth="1"/>
    <col min="8" max="8" width="8.140625" customWidth="1"/>
    <col min="9" max="9" width="7.42578125" customWidth="1"/>
    <col min="10" max="10" width="7.5703125" customWidth="1"/>
    <col min="11" max="11" width="7.42578125" customWidth="1"/>
    <col min="12" max="12" width="7.5703125" customWidth="1"/>
    <col min="13" max="13" width="8.7109375" customWidth="1"/>
    <col min="14" max="14" width="11.28515625" customWidth="1"/>
    <col min="15" max="15" width="9.28515625" customWidth="1"/>
    <col min="16" max="16" width="11" customWidth="1"/>
    <col min="17" max="18" width="9.28515625" customWidth="1"/>
    <col min="19" max="256" width="11.42578125" customWidth="1"/>
  </cols>
  <sheetData>
    <row r="2" spans="2:19" ht="18.75" customHeight="1" thickBot="1">
      <c r="B2" s="95" t="s">
        <v>38</v>
      </c>
      <c r="C2" s="95"/>
      <c r="D2" s="95"/>
      <c r="E2" s="95"/>
      <c r="N2" s="77" t="s">
        <v>45</v>
      </c>
      <c r="O2" s="77"/>
      <c r="P2" s="77"/>
      <c r="Q2" s="77"/>
      <c r="R2" s="77"/>
    </row>
    <row r="3" spans="2:19" ht="13.5" thickBot="1">
      <c r="B3" s="71" t="s">
        <v>1</v>
      </c>
      <c r="C3" s="72"/>
      <c r="D3" s="73"/>
      <c r="E3" s="105" t="s">
        <v>2</v>
      </c>
      <c r="F3" s="87" t="s">
        <v>63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</row>
    <row r="4" spans="2:19">
      <c r="B4" s="1" t="s">
        <v>3</v>
      </c>
      <c r="C4" s="2" t="s">
        <v>4</v>
      </c>
      <c r="D4" s="74" t="s">
        <v>5</v>
      </c>
      <c r="E4" s="106"/>
      <c r="F4" s="90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2"/>
    </row>
    <row r="5" spans="2:19">
      <c r="B5" s="1" t="s">
        <v>6</v>
      </c>
      <c r="C5" s="2" t="s">
        <v>7</v>
      </c>
      <c r="D5" s="75"/>
      <c r="E5" s="106"/>
      <c r="F5" s="108" t="s">
        <v>8</v>
      </c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2:19">
      <c r="B6" s="1" t="s">
        <v>9</v>
      </c>
      <c r="C6" s="2" t="s">
        <v>10</v>
      </c>
      <c r="D6" s="75"/>
      <c r="E6" s="106"/>
      <c r="F6" s="111" t="s">
        <v>11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3"/>
    </row>
    <row r="7" spans="2:19" ht="13.5" thickBot="1">
      <c r="B7" s="3"/>
      <c r="C7" s="4"/>
      <c r="D7" s="76"/>
      <c r="E7" s="107"/>
      <c r="F7" s="5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7" t="s">
        <v>24</v>
      </c>
    </row>
    <row r="8" spans="2:19" ht="7.5" customHeight="1" thickBot="1">
      <c r="B8" s="8"/>
      <c r="C8" s="9"/>
      <c r="D8" s="9"/>
      <c r="E8" s="10"/>
      <c r="F8" s="10"/>
      <c r="G8" s="10"/>
      <c r="H8" s="10"/>
      <c r="I8" s="10"/>
      <c r="J8" s="10"/>
      <c r="K8" s="10"/>
      <c r="L8" s="10"/>
    </row>
    <row r="9" spans="2:19" ht="18.75" customHeight="1">
      <c r="B9" s="96" t="s">
        <v>54</v>
      </c>
      <c r="C9" s="64" t="s">
        <v>47</v>
      </c>
      <c r="D9" s="126" t="s">
        <v>48</v>
      </c>
      <c r="E9" s="17">
        <v>186</v>
      </c>
      <c r="F9" s="18">
        <v>12</v>
      </c>
      <c r="G9" s="36">
        <v>15</v>
      </c>
      <c r="H9" s="36">
        <v>15</v>
      </c>
      <c r="I9" s="36">
        <v>10</v>
      </c>
      <c r="J9" s="36">
        <v>10</v>
      </c>
      <c r="K9" s="36">
        <v>10</v>
      </c>
      <c r="L9" s="36">
        <v>15</v>
      </c>
      <c r="M9" s="37">
        <v>18</v>
      </c>
      <c r="N9" s="37">
        <v>22</v>
      </c>
      <c r="O9" s="37">
        <v>22</v>
      </c>
      <c r="P9" s="37">
        <v>22</v>
      </c>
      <c r="Q9" s="37">
        <v>15</v>
      </c>
      <c r="R9" s="17">
        <v>186</v>
      </c>
    </row>
    <row r="10" spans="2:19" ht="18.75" customHeight="1">
      <c r="B10" s="97"/>
      <c r="C10" s="65"/>
      <c r="D10" s="127"/>
      <c r="E10" s="20">
        <v>1</v>
      </c>
      <c r="F10" s="21">
        <f>SUM(F9/E9)</f>
        <v>6.4516129032258063E-2</v>
      </c>
      <c r="G10" s="21">
        <f>SUM(G9/E9)</f>
        <v>8.0645161290322578E-2</v>
      </c>
      <c r="H10" s="21">
        <f>SUM(H9/E9)</f>
        <v>8.0645161290322578E-2</v>
      </c>
      <c r="I10" s="21">
        <f>SUM(I9/E9)</f>
        <v>5.3763440860215055E-2</v>
      </c>
      <c r="J10" s="21">
        <f>SUM(J9/E9)</f>
        <v>5.3763440860215055E-2</v>
      </c>
      <c r="K10" s="21">
        <f>SUM(K9/E9)</f>
        <v>5.3763440860215055E-2</v>
      </c>
      <c r="L10" s="21">
        <f>SUM(L9/E9)</f>
        <v>8.0645161290322578E-2</v>
      </c>
      <c r="M10" s="21">
        <f>SUM(M9/E9)</f>
        <v>9.6774193548387094E-2</v>
      </c>
      <c r="N10" s="21">
        <f>SUM(N9/E9)</f>
        <v>0.11827956989247312</v>
      </c>
      <c r="O10" s="21">
        <f>SUM(O9/E9)</f>
        <v>0.11827956989247312</v>
      </c>
      <c r="P10" s="21">
        <f>SUM(P9/E9)</f>
        <v>0.11827956989247312</v>
      </c>
      <c r="Q10" s="21">
        <f>SUM(Q9/E9)</f>
        <v>8.0645161290322578E-2</v>
      </c>
      <c r="R10" s="20">
        <f t="shared" ref="R10:R14" si="0">SUM(F10:Q10)</f>
        <v>1</v>
      </c>
    </row>
    <row r="11" spans="2:19" ht="18.75" customHeight="1">
      <c r="B11" s="97"/>
      <c r="C11" s="65"/>
      <c r="D11" s="127"/>
      <c r="E11" s="93" t="s">
        <v>28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>
        <f>SUM(F11:Q11)</f>
        <v>0</v>
      </c>
      <c r="S11" s="12"/>
    </row>
    <row r="12" spans="2:19" ht="39" customHeight="1" thickBot="1">
      <c r="B12" s="98"/>
      <c r="C12" s="130"/>
      <c r="D12" s="128"/>
      <c r="E12" s="94"/>
      <c r="F12" s="24">
        <f>+F11/E9</f>
        <v>0</v>
      </c>
      <c r="G12" s="24">
        <f>+G11/E9</f>
        <v>0</v>
      </c>
      <c r="H12" s="24">
        <f>+H11/E9</f>
        <v>0</v>
      </c>
      <c r="I12" s="24">
        <f>+I11/E9</f>
        <v>0</v>
      </c>
      <c r="J12" s="24">
        <f>+J11/E9</f>
        <v>0</v>
      </c>
      <c r="K12" s="24">
        <f>+K11/E9</f>
        <v>0</v>
      </c>
      <c r="L12" s="24">
        <f t="shared" ref="L12" si="1">+L11/E9</f>
        <v>0</v>
      </c>
      <c r="M12" s="24">
        <f>+M11/E9</f>
        <v>0</v>
      </c>
      <c r="N12" s="24">
        <f>+N11/E9</f>
        <v>0</v>
      </c>
      <c r="O12" s="24">
        <f>+O11/E9</f>
        <v>0</v>
      </c>
      <c r="P12" s="24">
        <f>+P11/E9</f>
        <v>0</v>
      </c>
      <c r="Q12" s="24">
        <f>+Q11/E9</f>
        <v>0</v>
      </c>
      <c r="R12" s="25">
        <f>SUM(F12:Q12)</f>
        <v>0</v>
      </c>
    </row>
    <row r="13" spans="2:19" ht="12.75" customHeight="1">
      <c r="N13" s="62" t="s">
        <v>29</v>
      </c>
      <c r="O13" s="62"/>
      <c r="P13" s="62"/>
      <c r="Q13" s="99">
        <f>+R11/E9</f>
        <v>0</v>
      </c>
      <c r="R13" s="100">
        <f t="shared" si="0"/>
        <v>0</v>
      </c>
    </row>
    <row r="14" spans="2:19" ht="13.5" customHeight="1" thickBot="1">
      <c r="J14" s="26"/>
      <c r="K14" s="26"/>
      <c r="L14" s="26"/>
      <c r="M14" s="26"/>
      <c r="N14" s="103"/>
      <c r="O14" s="103"/>
      <c r="P14" s="104"/>
      <c r="Q14" s="101">
        <f>SUM(E14:P14)</f>
        <v>0</v>
      </c>
      <c r="R14" s="102">
        <f t="shared" si="0"/>
        <v>0</v>
      </c>
    </row>
    <row r="15" spans="2:19" ht="9" customHeight="1">
      <c r="D15" s="11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2:19" ht="16.5" hidden="1" thickBot="1">
      <c r="F16" s="61"/>
      <c r="G16" s="61"/>
      <c r="H16" s="61"/>
      <c r="I16" s="61"/>
      <c r="J16" s="61"/>
      <c r="K16" s="26"/>
      <c r="L16" s="26"/>
      <c r="M16" s="61"/>
      <c r="N16" s="61"/>
      <c r="O16" s="61"/>
      <c r="P16" s="61"/>
      <c r="Q16" s="61"/>
      <c r="R16" s="12"/>
    </row>
    <row r="17" spans="2:17" ht="15.75" hidden="1" thickBot="1">
      <c r="F17" s="58"/>
      <c r="G17" s="58"/>
      <c r="H17" s="58"/>
      <c r="I17" s="58"/>
      <c r="J17" s="58"/>
      <c r="K17" s="26"/>
      <c r="L17" s="26"/>
      <c r="M17" s="63"/>
      <c r="N17" s="63"/>
      <c r="O17" s="63"/>
      <c r="P17" s="63"/>
      <c r="Q17" s="63"/>
    </row>
    <row r="18" spans="2:17" ht="50.25" customHeight="1">
      <c r="B18" s="131" t="s">
        <v>70</v>
      </c>
      <c r="C18" s="132"/>
      <c r="D18" s="132"/>
      <c r="E18" s="133"/>
      <c r="F18" s="26"/>
      <c r="G18" s="27"/>
      <c r="H18" s="39"/>
      <c r="I18" s="26"/>
      <c r="J18" s="26"/>
      <c r="K18" s="26"/>
      <c r="L18" s="26"/>
      <c r="M18" s="26"/>
      <c r="N18" s="26"/>
      <c r="O18" s="26"/>
      <c r="P18" s="26"/>
      <c r="Q18" s="26"/>
    </row>
    <row r="19" spans="2:17">
      <c r="F19" s="26"/>
      <c r="G19" s="26"/>
      <c r="H19" s="26"/>
      <c r="I19" s="129"/>
      <c r="J19" s="129"/>
      <c r="K19" s="129"/>
      <c r="L19" s="129"/>
      <c r="M19" s="129"/>
      <c r="N19" s="129"/>
      <c r="O19" s="129"/>
      <c r="P19" s="129"/>
      <c r="Q19" s="28"/>
    </row>
    <row r="20" spans="2:17">
      <c r="C20" t="s">
        <v>30</v>
      </c>
      <c r="F20" s="26"/>
      <c r="G20" s="26"/>
      <c r="H20" s="26"/>
      <c r="I20" s="38"/>
      <c r="J20" s="38"/>
      <c r="K20" s="38"/>
      <c r="L20" s="38"/>
      <c r="M20" s="38"/>
      <c r="N20" s="38"/>
      <c r="O20" s="38"/>
      <c r="P20" s="38"/>
      <c r="Q20" s="26"/>
    </row>
    <row r="21" spans="2:17"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2:17"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2:17"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2:17" ht="15">
      <c r="F24" s="58"/>
      <c r="G24" s="58"/>
      <c r="H24" s="58"/>
      <c r="I24" s="58"/>
      <c r="J24" s="58"/>
      <c r="K24" s="26"/>
      <c r="L24" s="26"/>
      <c r="M24" s="26"/>
      <c r="N24" s="26"/>
      <c r="O24" s="26"/>
      <c r="P24" s="26"/>
      <c r="Q24" s="26"/>
    </row>
    <row r="25" spans="2:17" ht="20.25">
      <c r="C25" t="s">
        <v>30</v>
      </c>
      <c r="F25" s="26"/>
      <c r="G25" s="14"/>
      <c r="H25" s="15"/>
      <c r="I25" s="26"/>
      <c r="J25" s="26"/>
      <c r="K25" s="26"/>
      <c r="L25" s="26"/>
      <c r="M25" s="26"/>
      <c r="N25" s="26"/>
      <c r="O25" s="26"/>
      <c r="P25" s="26"/>
      <c r="Q25" s="26"/>
    </row>
    <row r="26" spans="2:17">
      <c r="C26" t="s">
        <v>30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2:17"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2:17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2:17"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</sheetData>
  <mergeCells count="21">
    <mergeCell ref="F24:J24"/>
    <mergeCell ref="F16:J16"/>
    <mergeCell ref="M16:Q16"/>
    <mergeCell ref="F17:J17"/>
    <mergeCell ref="M17:Q17"/>
    <mergeCell ref="B18:E18"/>
    <mergeCell ref="I19:P19"/>
    <mergeCell ref="B9:B12"/>
    <mergeCell ref="C9:C12"/>
    <mergeCell ref="D9:D12"/>
    <mergeCell ref="E11:E12"/>
    <mergeCell ref="N13:P14"/>
    <mergeCell ref="Q13:R14"/>
    <mergeCell ref="B2:E2"/>
    <mergeCell ref="B3:D3"/>
    <mergeCell ref="E3:E7"/>
    <mergeCell ref="F3:R4"/>
    <mergeCell ref="D4:D7"/>
    <mergeCell ref="F5:R5"/>
    <mergeCell ref="F6:R6"/>
    <mergeCell ref="N2:R2"/>
  </mergeCells>
  <pageMargins left="0.25" right="0.25" top="0.75" bottom="0.75" header="0.3" footer="0.3"/>
  <pageSetup paperSize="9"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29"/>
  <sheetViews>
    <sheetView zoomScale="90" zoomScaleNormal="90" workbookViewId="0">
      <selection activeCell="V12" sqref="V12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3.42578125" customWidth="1"/>
    <col min="5" max="5" width="10.42578125" customWidth="1"/>
    <col min="6" max="6" width="7.7109375" customWidth="1"/>
    <col min="7" max="7" width="8.7109375" customWidth="1"/>
    <col min="8" max="8" width="8" customWidth="1"/>
    <col min="9" max="9" width="7.42578125" customWidth="1"/>
    <col min="10" max="10" width="7.7109375" customWidth="1"/>
    <col min="11" max="11" width="7.5703125" customWidth="1"/>
    <col min="12" max="12" width="7.42578125" customWidth="1"/>
    <col min="13" max="13" width="8.140625" customWidth="1"/>
    <col min="14" max="14" width="11.28515625" customWidth="1"/>
    <col min="15" max="15" width="9.28515625" customWidth="1"/>
    <col min="16" max="16" width="11" customWidth="1"/>
    <col min="17" max="17" width="9.28515625" customWidth="1"/>
    <col min="18" max="18" width="10.28515625" customWidth="1"/>
    <col min="19" max="256" width="11.42578125" customWidth="1"/>
  </cols>
  <sheetData>
    <row r="2" spans="2:19" ht="18.75" customHeight="1" thickBot="1">
      <c r="B2" s="95" t="s">
        <v>68</v>
      </c>
      <c r="C2" s="95"/>
      <c r="D2" s="95"/>
      <c r="E2" s="95"/>
      <c r="N2" s="77" t="s">
        <v>32</v>
      </c>
      <c r="O2" s="77"/>
      <c r="P2" s="77"/>
      <c r="Q2" s="77"/>
      <c r="R2" s="77"/>
    </row>
    <row r="3" spans="2:19" ht="13.5" thickBot="1">
      <c r="B3" s="71" t="s">
        <v>1</v>
      </c>
      <c r="C3" s="72"/>
      <c r="D3" s="73"/>
      <c r="E3" s="105" t="s">
        <v>2</v>
      </c>
      <c r="F3" s="87" t="s">
        <v>63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</row>
    <row r="4" spans="2:19">
      <c r="B4" s="1" t="s">
        <v>3</v>
      </c>
      <c r="C4" s="2" t="s">
        <v>4</v>
      </c>
      <c r="D4" s="74" t="s">
        <v>5</v>
      </c>
      <c r="E4" s="106"/>
      <c r="F4" s="90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2"/>
    </row>
    <row r="5" spans="2:19">
      <c r="B5" s="1" t="s">
        <v>6</v>
      </c>
      <c r="C5" s="2" t="s">
        <v>7</v>
      </c>
      <c r="D5" s="75"/>
      <c r="E5" s="106"/>
      <c r="F5" s="108" t="s">
        <v>8</v>
      </c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2:19">
      <c r="B6" s="1" t="s">
        <v>9</v>
      </c>
      <c r="C6" s="2" t="s">
        <v>10</v>
      </c>
      <c r="D6" s="75"/>
      <c r="E6" s="106"/>
      <c r="F6" s="111" t="s">
        <v>11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3"/>
    </row>
    <row r="7" spans="2:19" ht="13.5" thickBot="1">
      <c r="B7" s="3"/>
      <c r="C7" s="4"/>
      <c r="D7" s="76"/>
      <c r="E7" s="107"/>
      <c r="F7" s="5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7" t="s">
        <v>24</v>
      </c>
    </row>
    <row r="8" spans="2:19" ht="7.5" customHeight="1" thickBot="1">
      <c r="B8" s="8"/>
      <c r="C8" s="9"/>
      <c r="D8" s="9"/>
      <c r="E8" s="10"/>
      <c r="F8" s="10"/>
      <c r="G8" s="10"/>
      <c r="H8" s="10"/>
      <c r="I8" s="10"/>
      <c r="J8" s="10"/>
      <c r="K8" s="10"/>
      <c r="L8" s="10"/>
    </row>
    <row r="9" spans="2:19" ht="18.75" customHeight="1">
      <c r="B9" s="96" t="s">
        <v>55</v>
      </c>
      <c r="C9" s="64" t="s">
        <v>39</v>
      </c>
      <c r="D9" s="126" t="s">
        <v>27</v>
      </c>
      <c r="E9" s="17">
        <v>197</v>
      </c>
      <c r="F9" s="18">
        <v>10</v>
      </c>
      <c r="G9" s="36">
        <v>25</v>
      </c>
      <c r="H9" s="36">
        <v>15</v>
      </c>
      <c r="I9" s="36">
        <v>7</v>
      </c>
      <c r="J9" s="36">
        <v>6</v>
      </c>
      <c r="K9" s="36">
        <v>5</v>
      </c>
      <c r="L9" s="36">
        <v>13</v>
      </c>
      <c r="M9" s="37">
        <v>16</v>
      </c>
      <c r="N9" s="37">
        <v>25</v>
      </c>
      <c r="O9" s="37">
        <v>30</v>
      </c>
      <c r="P9" s="37">
        <v>30</v>
      </c>
      <c r="Q9" s="37">
        <v>15</v>
      </c>
      <c r="R9" s="17">
        <v>197</v>
      </c>
    </row>
    <row r="10" spans="2:19" ht="18.75" customHeight="1">
      <c r="B10" s="97"/>
      <c r="C10" s="65"/>
      <c r="D10" s="127"/>
      <c r="E10" s="20">
        <v>1</v>
      </c>
      <c r="F10" s="21">
        <f>SUM(F9/E9)</f>
        <v>5.0761421319796954E-2</v>
      </c>
      <c r="G10" s="21">
        <f>SUM(G9/E9)</f>
        <v>0.12690355329949238</v>
      </c>
      <c r="H10" s="21">
        <f>SUM(H9/E9)</f>
        <v>7.6142131979695438E-2</v>
      </c>
      <c r="I10" s="21">
        <f>SUM(I9/E9)</f>
        <v>3.553299492385787E-2</v>
      </c>
      <c r="J10" s="21">
        <f>SUM(J9/E9)</f>
        <v>3.0456852791878174E-2</v>
      </c>
      <c r="K10" s="21">
        <f>SUM(K9/E9)</f>
        <v>2.5380710659898477E-2</v>
      </c>
      <c r="L10" s="21">
        <f>SUM(L9/E9)</f>
        <v>6.5989847715736044E-2</v>
      </c>
      <c r="M10" s="21">
        <f>SUM(M9/E9)</f>
        <v>8.1218274111675121E-2</v>
      </c>
      <c r="N10" s="21">
        <f>SUM(N9/E9)</f>
        <v>0.12690355329949238</v>
      </c>
      <c r="O10" s="21">
        <f>SUM(O9/E9)</f>
        <v>0.15228426395939088</v>
      </c>
      <c r="P10" s="21">
        <f>SUM(P9/E9)</f>
        <v>0.15228426395939088</v>
      </c>
      <c r="Q10" s="21">
        <f>SUM(Q9/E9)</f>
        <v>7.6142131979695438E-2</v>
      </c>
      <c r="R10" s="20">
        <f t="shared" ref="R10:R14" si="0">SUM(F10:Q10)</f>
        <v>1</v>
      </c>
    </row>
    <row r="11" spans="2:19" ht="27" customHeight="1">
      <c r="B11" s="97"/>
      <c r="C11" s="65"/>
      <c r="D11" s="127"/>
      <c r="E11" s="93" t="s">
        <v>28</v>
      </c>
      <c r="F11" s="42"/>
      <c r="G11" s="4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>
        <f>SUM(F11:Q11)</f>
        <v>0</v>
      </c>
      <c r="S11" s="12"/>
    </row>
    <row r="12" spans="2:19" ht="60" customHeight="1" thickBot="1">
      <c r="B12" s="98"/>
      <c r="C12" s="130"/>
      <c r="D12" s="128"/>
      <c r="E12" s="94"/>
      <c r="F12" s="24">
        <f>+F11/E9</f>
        <v>0</v>
      </c>
      <c r="G12" s="24">
        <f>+G11/E9</f>
        <v>0</v>
      </c>
      <c r="H12" s="24">
        <f>+H11/E9</f>
        <v>0</v>
      </c>
      <c r="I12" s="24">
        <f>+I11/E9</f>
        <v>0</v>
      </c>
      <c r="J12" s="24">
        <f>+J11/E9</f>
        <v>0</v>
      </c>
      <c r="K12" s="24">
        <f>+K11/E9</f>
        <v>0</v>
      </c>
      <c r="L12" s="24">
        <f t="shared" ref="L12" si="1">+L11/E9</f>
        <v>0</v>
      </c>
      <c r="M12" s="24">
        <f>+M11/E9</f>
        <v>0</v>
      </c>
      <c r="N12" s="24">
        <f>+N11/E9</f>
        <v>0</v>
      </c>
      <c r="O12" s="24">
        <f>+O11/E9</f>
        <v>0</v>
      </c>
      <c r="P12" s="24">
        <f>+P11/E9</f>
        <v>0</v>
      </c>
      <c r="Q12" s="24">
        <f>+Q11/E9</f>
        <v>0</v>
      </c>
      <c r="R12" s="25">
        <f>SUM(F12:Q12)</f>
        <v>0</v>
      </c>
    </row>
    <row r="13" spans="2:19" ht="12.75" customHeight="1">
      <c r="N13" s="62" t="s">
        <v>29</v>
      </c>
      <c r="O13" s="62"/>
      <c r="P13" s="62"/>
      <c r="Q13" s="99">
        <f>+R11/E9</f>
        <v>0</v>
      </c>
      <c r="R13" s="100">
        <f t="shared" si="0"/>
        <v>0</v>
      </c>
    </row>
    <row r="14" spans="2:19" ht="13.5" customHeight="1" thickBot="1">
      <c r="J14" s="26"/>
      <c r="K14" s="26"/>
      <c r="L14" s="26"/>
      <c r="M14" s="26"/>
      <c r="N14" s="103"/>
      <c r="O14" s="103"/>
      <c r="P14" s="104"/>
      <c r="Q14" s="101">
        <f>SUM(E14:P14)</f>
        <v>0</v>
      </c>
      <c r="R14" s="102">
        <f t="shared" si="0"/>
        <v>0</v>
      </c>
    </row>
    <row r="15" spans="2:19" ht="9" customHeight="1" thickBot="1">
      <c r="D15" s="11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2:19" ht="16.5" hidden="1" thickBot="1">
      <c r="F16" s="61"/>
      <c r="G16" s="61"/>
      <c r="H16" s="61"/>
      <c r="I16" s="61"/>
      <c r="J16" s="61"/>
      <c r="K16" s="26"/>
      <c r="L16" s="26"/>
      <c r="M16" s="61"/>
      <c r="N16" s="61"/>
      <c r="O16" s="61"/>
      <c r="P16" s="61"/>
      <c r="Q16" s="61"/>
      <c r="R16" s="12"/>
    </row>
    <row r="17" spans="2:17" ht="15.75" hidden="1" thickBot="1">
      <c r="F17" s="58"/>
      <c r="G17" s="58"/>
      <c r="H17" s="58"/>
      <c r="I17" s="58"/>
      <c r="J17" s="58"/>
      <c r="K17" s="26"/>
      <c r="L17" s="26"/>
      <c r="M17" s="63"/>
      <c r="N17" s="63"/>
      <c r="O17" s="63"/>
      <c r="P17" s="63"/>
      <c r="Q17" s="63"/>
    </row>
    <row r="18" spans="2:17" ht="55.5" customHeight="1" thickBot="1">
      <c r="B18" s="55" t="s">
        <v>64</v>
      </c>
      <c r="C18" s="56"/>
      <c r="D18" s="56"/>
      <c r="E18" s="57"/>
      <c r="F18" s="26"/>
      <c r="G18" s="27"/>
      <c r="H18" s="39"/>
      <c r="I18" s="26"/>
      <c r="J18" s="26"/>
      <c r="K18" s="26"/>
      <c r="L18" s="26"/>
      <c r="M18" s="26"/>
      <c r="N18" s="26"/>
      <c r="O18" s="26"/>
      <c r="P18" s="26"/>
      <c r="Q18" s="26"/>
    </row>
    <row r="19" spans="2:17">
      <c r="F19" s="26"/>
      <c r="G19" s="26"/>
      <c r="H19" s="26"/>
      <c r="I19" s="129"/>
      <c r="J19" s="129"/>
      <c r="K19" s="129"/>
      <c r="L19" s="129"/>
      <c r="M19" s="129"/>
      <c r="N19" s="129"/>
      <c r="O19" s="129"/>
      <c r="P19" s="129"/>
      <c r="Q19" s="28"/>
    </row>
    <row r="20" spans="2:17">
      <c r="C20" t="s">
        <v>30</v>
      </c>
      <c r="F20" s="26"/>
      <c r="G20" s="26"/>
      <c r="H20" s="26"/>
      <c r="I20" s="38"/>
      <c r="J20" s="38"/>
      <c r="K20" s="38"/>
      <c r="L20" s="38"/>
      <c r="M20" s="38"/>
      <c r="N20" s="38"/>
      <c r="O20" s="38"/>
      <c r="P20" s="38"/>
      <c r="Q20" s="26"/>
    </row>
    <row r="21" spans="2:17"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2:17"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2:17"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2:17" ht="15">
      <c r="F24" s="58"/>
      <c r="G24" s="58"/>
      <c r="H24" s="58"/>
      <c r="I24" s="58"/>
      <c r="J24" s="58"/>
      <c r="K24" s="26"/>
      <c r="L24" s="26"/>
      <c r="M24" s="26"/>
      <c r="N24" s="26"/>
      <c r="O24" s="26"/>
      <c r="P24" s="26"/>
      <c r="Q24" s="26"/>
    </row>
    <row r="25" spans="2:17" ht="20.25">
      <c r="C25" t="s">
        <v>30</v>
      </c>
      <c r="F25" s="26"/>
      <c r="G25" s="14"/>
      <c r="H25" s="15"/>
      <c r="I25" s="26"/>
      <c r="J25" s="26"/>
      <c r="K25" s="26"/>
      <c r="L25" s="26"/>
      <c r="M25" s="26"/>
      <c r="N25" s="26"/>
      <c r="O25" s="26"/>
      <c r="P25" s="26"/>
      <c r="Q25" s="26"/>
    </row>
    <row r="26" spans="2:17">
      <c r="C26" t="s">
        <v>30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2:17"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2:17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2:17"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</sheetData>
  <mergeCells count="21">
    <mergeCell ref="F24:J24"/>
    <mergeCell ref="F16:J16"/>
    <mergeCell ref="M16:Q16"/>
    <mergeCell ref="F17:J17"/>
    <mergeCell ref="M17:Q17"/>
    <mergeCell ref="B18:E18"/>
    <mergeCell ref="I19:P19"/>
    <mergeCell ref="B9:B12"/>
    <mergeCell ref="C9:C12"/>
    <mergeCell ref="D9:D12"/>
    <mergeCell ref="E11:E12"/>
    <mergeCell ref="N13:P14"/>
    <mergeCell ref="Q13:R14"/>
    <mergeCell ref="B2:E2"/>
    <mergeCell ref="B3:D3"/>
    <mergeCell ref="E3:E7"/>
    <mergeCell ref="F3:R4"/>
    <mergeCell ref="D4:D7"/>
    <mergeCell ref="F5:R5"/>
    <mergeCell ref="F6:R6"/>
    <mergeCell ref="N2:R2"/>
  </mergeCells>
  <pageMargins left="0.25" right="0.25" top="0.75" bottom="0.75" header="0.3" footer="0.3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31"/>
  <sheetViews>
    <sheetView zoomScale="90" zoomScaleNormal="90" workbookViewId="0">
      <selection activeCell="R9" sqref="R9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4" customWidth="1"/>
    <col min="5" max="5" width="10" customWidth="1"/>
    <col min="6" max="6" width="7.5703125" customWidth="1"/>
    <col min="7" max="7" width="8.7109375" customWidth="1"/>
    <col min="8" max="8" width="8.140625" customWidth="1"/>
    <col min="9" max="9" width="8" customWidth="1"/>
    <col min="10" max="11" width="7.5703125" customWidth="1"/>
    <col min="12" max="12" width="7.42578125" customWidth="1"/>
    <col min="13" max="13" width="8" customWidth="1"/>
    <col min="14" max="14" width="11.28515625" customWidth="1"/>
    <col min="15" max="15" width="9.28515625" customWidth="1"/>
    <col min="16" max="16" width="11" customWidth="1"/>
    <col min="17" max="17" width="9.28515625" customWidth="1"/>
    <col min="18" max="18" width="9.7109375" customWidth="1"/>
    <col min="19" max="256" width="11.42578125" customWidth="1"/>
  </cols>
  <sheetData>
    <row r="2" spans="2:19" ht="18.75" customHeight="1" thickBot="1">
      <c r="B2" s="95" t="s">
        <v>69</v>
      </c>
      <c r="C2" s="95"/>
      <c r="D2" s="95"/>
      <c r="E2" s="95"/>
      <c r="N2" s="77" t="s">
        <v>35</v>
      </c>
      <c r="O2" s="77"/>
      <c r="P2" s="77"/>
      <c r="Q2" s="77"/>
      <c r="R2" s="77"/>
    </row>
    <row r="3" spans="2:19" ht="13.5" thickBot="1">
      <c r="B3" s="71" t="s">
        <v>1</v>
      </c>
      <c r="C3" s="72"/>
      <c r="D3" s="73"/>
      <c r="E3" s="105" t="s">
        <v>2</v>
      </c>
      <c r="F3" s="87" t="s">
        <v>63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</row>
    <row r="4" spans="2:19">
      <c r="B4" s="1" t="s">
        <v>3</v>
      </c>
      <c r="C4" s="2" t="s">
        <v>4</v>
      </c>
      <c r="D4" s="74" t="s">
        <v>5</v>
      </c>
      <c r="E4" s="106"/>
      <c r="F4" s="90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2"/>
    </row>
    <row r="5" spans="2:19">
      <c r="B5" s="1" t="s">
        <v>6</v>
      </c>
      <c r="C5" s="2" t="s">
        <v>7</v>
      </c>
      <c r="D5" s="75"/>
      <c r="E5" s="106"/>
      <c r="F5" s="108" t="s">
        <v>8</v>
      </c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2:19">
      <c r="B6" s="1" t="s">
        <v>9</v>
      </c>
      <c r="C6" s="2" t="s">
        <v>10</v>
      </c>
      <c r="D6" s="75"/>
      <c r="E6" s="106"/>
      <c r="F6" s="111" t="s">
        <v>11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3"/>
    </row>
    <row r="7" spans="2:19" ht="13.5" thickBot="1">
      <c r="B7" s="3"/>
      <c r="C7" s="4"/>
      <c r="D7" s="76"/>
      <c r="E7" s="107"/>
      <c r="F7" s="5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7" t="s">
        <v>24</v>
      </c>
    </row>
    <row r="8" spans="2:19" ht="7.5" customHeight="1" thickBot="1">
      <c r="B8" s="8"/>
      <c r="C8" s="9"/>
      <c r="D8" s="9"/>
      <c r="E8" s="10"/>
      <c r="F8" s="10"/>
      <c r="G8" s="10"/>
      <c r="H8" s="10"/>
      <c r="I8" s="10"/>
      <c r="J8" s="10"/>
      <c r="K8" s="10"/>
      <c r="L8" s="10"/>
    </row>
    <row r="9" spans="2:19" ht="29.25" customHeight="1">
      <c r="B9" s="96" t="s">
        <v>49</v>
      </c>
      <c r="C9" s="64" t="s">
        <v>50</v>
      </c>
      <c r="D9" s="126" t="s">
        <v>48</v>
      </c>
      <c r="E9" s="17">
        <v>400</v>
      </c>
      <c r="F9" s="49">
        <v>25</v>
      </c>
      <c r="G9" s="50">
        <v>25</v>
      </c>
      <c r="H9" s="50">
        <v>30</v>
      </c>
      <c r="I9" s="50">
        <v>20</v>
      </c>
      <c r="J9" s="50">
        <v>20</v>
      </c>
      <c r="K9" s="50">
        <v>20</v>
      </c>
      <c r="L9" s="50">
        <v>30</v>
      </c>
      <c r="M9" s="51">
        <v>35</v>
      </c>
      <c r="N9" s="51">
        <v>55</v>
      </c>
      <c r="O9" s="51">
        <v>60</v>
      </c>
      <c r="P9" s="51">
        <v>50</v>
      </c>
      <c r="Q9" s="51">
        <v>30</v>
      </c>
      <c r="R9" s="52">
        <v>400</v>
      </c>
    </row>
    <row r="10" spans="2:19" ht="30.75" customHeight="1">
      <c r="B10" s="97"/>
      <c r="C10" s="65"/>
      <c r="D10" s="127"/>
      <c r="E10" s="20">
        <v>1</v>
      </c>
      <c r="F10" s="53">
        <f>SUM(F9/E9)</f>
        <v>6.25E-2</v>
      </c>
      <c r="G10" s="53">
        <f>SUM(G9/E9)</f>
        <v>6.25E-2</v>
      </c>
      <c r="H10" s="53">
        <f>SUM(H9/E9)</f>
        <v>7.4999999999999997E-2</v>
      </c>
      <c r="I10" s="53">
        <f>SUM(I9/E9)</f>
        <v>0.05</v>
      </c>
      <c r="J10" s="53">
        <f>SUM(J9/E9)</f>
        <v>0.05</v>
      </c>
      <c r="K10" s="53">
        <f>SUM(K9/E9)</f>
        <v>0.05</v>
      </c>
      <c r="L10" s="53">
        <f>SUM(L9/E9)</f>
        <v>7.4999999999999997E-2</v>
      </c>
      <c r="M10" s="53">
        <f>SUM(M9/E9)</f>
        <v>8.7499999999999994E-2</v>
      </c>
      <c r="N10" s="53">
        <f>SUM(N9/E9)</f>
        <v>0.13750000000000001</v>
      </c>
      <c r="O10" s="53">
        <f>SUM(O9/E9)</f>
        <v>0.15</v>
      </c>
      <c r="P10" s="53">
        <f>SUM(P9/E9)</f>
        <v>0.125</v>
      </c>
      <c r="Q10" s="53">
        <f>SUM(Q9/E9)</f>
        <v>7.4999999999999997E-2</v>
      </c>
      <c r="R10" s="54">
        <f t="shared" ref="R10:R14" si="0">SUM(F10:Q10)</f>
        <v>0.99999999999999989</v>
      </c>
    </row>
    <row r="11" spans="2:19" ht="26.25" customHeight="1">
      <c r="B11" s="97"/>
      <c r="C11" s="65"/>
      <c r="D11" s="127"/>
      <c r="E11" s="93" t="s">
        <v>28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8">
        <f>SUM(F11:Q11)</f>
        <v>0</v>
      </c>
      <c r="S11" s="12"/>
    </row>
    <row r="12" spans="2:19" ht="30" customHeight="1" thickBot="1">
      <c r="B12" s="98"/>
      <c r="C12" s="130"/>
      <c r="D12" s="128"/>
      <c r="E12" s="94"/>
      <c r="F12" s="46">
        <f>+F11/E9</f>
        <v>0</v>
      </c>
      <c r="G12" s="46">
        <f>+G11/E9</f>
        <v>0</v>
      </c>
      <c r="H12" s="46">
        <f>+H11/E9</f>
        <v>0</v>
      </c>
      <c r="I12" s="46">
        <f>+I11/E9</f>
        <v>0</v>
      </c>
      <c r="J12" s="46">
        <f>+J11/E9</f>
        <v>0</v>
      </c>
      <c r="K12" s="46">
        <f>+K11/E9</f>
        <v>0</v>
      </c>
      <c r="L12" s="46">
        <f t="shared" ref="L12" si="1">+L11/E9</f>
        <v>0</v>
      </c>
      <c r="M12" s="46">
        <f>+M11/E9</f>
        <v>0</v>
      </c>
      <c r="N12" s="46">
        <f>+N11/E9</f>
        <v>0</v>
      </c>
      <c r="O12" s="46">
        <f>+O11/E9</f>
        <v>0</v>
      </c>
      <c r="P12" s="46">
        <f>+P11/E9</f>
        <v>0</v>
      </c>
      <c r="Q12" s="46">
        <f>+Q11/E9</f>
        <v>0</v>
      </c>
      <c r="R12" s="47">
        <f>SUM(F12:Q12)</f>
        <v>0</v>
      </c>
    </row>
    <row r="13" spans="2:19" ht="12.75" customHeight="1">
      <c r="N13" s="62" t="s">
        <v>29</v>
      </c>
      <c r="O13" s="62"/>
      <c r="P13" s="62"/>
      <c r="Q13" s="99">
        <f>+R11/E9</f>
        <v>0</v>
      </c>
      <c r="R13" s="100">
        <f t="shared" si="0"/>
        <v>0</v>
      </c>
    </row>
    <row r="14" spans="2:19" ht="13.5" customHeight="1" thickBot="1">
      <c r="J14" s="26"/>
      <c r="K14" s="26"/>
      <c r="L14" s="26"/>
      <c r="M14" s="26"/>
      <c r="N14" s="103"/>
      <c r="O14" s="103"/>
      <c r="P14" s="104"/>
      <c r="Q14" s="101">
        <f>SUM(E14:P14)</f>
        <v>0</v>
      </c>
      <c r="R14" s="102">
        <f t="shared" si="0"/>
        <v>0</v>
      </c>
    </row>
    <row r="15" spans="2:19" ht="9" customHeight="1" thickBot="1">
      <c r="D15" s="11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2:19" ht="16.5" hidden="1" thickBot="1">
      <c r="F16" s="61"/>
      <c r="G16" s="61"/>
      <c r="H16" s="61"/>
      <c r="I16" s="61"/>
      <c r="J16" s="61"/>
      <c r="K16" s="26"/>
      <c r="L16" s="26"/>
      <c r="M16" s="61"/>
      <c r="N16" s="61"/>
      <c r="O16" s="61"/>
      <c r="P16" s="61"/>
      <c r="Q16" s="61"/>
      <c r="R16" s="12"/>
    </row>
    <row r="17" spans="2:17" ht="15.75" hidden="1" thickBot="1">
      <c r="F17" s="58"/>
      <c r="G17" s="58"/>
      <c r="H17" s="58"/>
      <c r="I17" s="58"/>
      <c r="J17" s="58"/>
      <c r="K17" s="26"/>
      <c r="L17" s="26"/>
      <c r="M17" s="63"/>
      <c r="N17" s="63"/>
      <c r="O17" s="63"/>
      <c r="P17" s="63"/>
      <c r="Q17" s="63"/>
    </row>
    <row r="18" spans="2:17" ht="52.5" customHeight="1" thickBot="1">
      <c r="B18" s="55" t="s">
        <v>64</v>
      </c>
      <c r="C18" s="56"/>
      <c r="D18" s="56"/>
      <c r="E18" s="57"/>
      <c r="F18" s="26"/>
      <c r="G18" s="27"/>
      <c r="H18" s="39"/>
      <c r="I18" s="26"/>
      <c r="J18" s="26"/>
      <c r="K18" s="26"/>
      <c r="L18" s="26"/>
      <c r="M18" s="26"/>
      <c r="N18" s="26"/>
      <c r="O18" s="26"/>
      <c r="P18" s="26"/>
      <c r="Q18" s="26"/>
    </row>
    <row r="19" spans="2:17">
      <c r="F19" s="26"/>
      <c r="G19" s="26"/>
      <c r="H19" s="26"/>
      <c r="I19" s="129"/>
      <c r="J19" s="129"/>
      <c r="K19" s="129"/>
      <c r="L19" s="129"/>
      <c r="M19" s="129"/>
      <c r="N19" s="129"/>
      <c r="O19" s="129"/>
      <c r="P19" s="129"/>
      <c r="Q19" s="28"/>
    </row>
    <row r="20" spans="2:17">
      <c r="F20" s="26"/>
      <c r="G20" s="26"/>
      <c r="H20" s="26"/>
      <c r="I20" s="134"/>
      <c r="J20" s="134"/>
      <c r="K20" s="134"/>
      <c r="L20" s="134"/>
      <c r="M20" s="134"/>
      <c r="N20" s="134"/>
      <c r="O20" s="134"/>
      <c r="P20" s="134"/>
      <c r="Q20" s="26"/>
    </row>
    <row r="21" spans="2:17">
      <c r="F21" s="26"/>
      <c r="G21" s="26"/>
      <c r="H21" s="26"/>
      <c r="I21" s="129"/>
      <c r="J21" s="129"/>
      <c r="K21" s="129"/>
      <c r="L21" s="129"/>
      <c r="M21" s="129"/>
      <c r="N21" s="129"/>
      <c r="O21" s="129"/>
      <c r="P21" s="129"/>
      <c r="Q21" s="26"/>
    </row>
    <row r="22" spans="2:17">
      <c r="C22" t="s">
        <v>31</v>
      </c>
      <c r="F22" s="26"/>
      <c r="G22" s="26"/>
      <c r="H22" s="26"/>
      <c r="I22" s="38"/>
      <c r="J22" s="38"/>
      <c r="K22" s="38"/>
      <c r="L22" s="38"/>
      <c r="M22" s="38"/>
      <c r="N22" s="38"/>
      <c r="O22" s="38"/>
      <c r="P22" s="38"/>
      <c r="Q22" s="26"/>
    </row>
    <row r="23" spans="2:17"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2:17"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2:17"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2:17" ht="15">
      <c r="F26" s="58"/>
      <c r="G26" s="58"/>
      <c r="H26" s="58"/>
      <c r="I26" s="58"/>
      <c r="J26" s="58"/>
      <c r="K26" s="26"/>
      <c r="L26" s="26"/>
      <c r="M26" s="26"/>
      <c r="N26" s="26"/>
      <c r="O26" s="26"/>
      <c r="P26" s="26"/>
      <c r="Q26" s="26"/>
    </row>
    <row r="27" spans="2:17" ht="20.25">
      <c r="C27" t="s">
        <v>30</v>
      </c>
      <c r="F27" s="26"/>
      <c r="G27" s="14"/>
      <c r="H27" s="15"/>
      <c r="I27" s="26"/>
      <c r="J27" s="26"/>
      <c r="K27" s="26"/>
      <c r="L27" s="26"/>
      <c r="M27" s="26"/>
      <c r="N27" s="26"/>
      <c r="O27" s="26"/>
      <c r="P27" s="26"/>
      <c r="Q27" s="26"/>
    </row>
    <row r="28" spans="2:17">
      <c r="C28" t="s">
        <v>30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2:17"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2:17"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2:17"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</sheetData>
  <mergeCells count="23">
    <mergeCell ref="I20:P20"/>
    <mergeCell ref="I21:P21"/>
    <mergeCell ref="F26:J26"/>
    <mergeCell ref="F16:J16"/>
    <mergeCell ref="M16:Q16"/>
    <mergeCell ref="F17:J17"/>
    <mergeCell ref="M17:Q17"/>
    <mergeCell ref="B18:E18"/>
    <mergeCell ref="I19:P19"/>
    <mergeCell ref="B9:B12"/>
    <mergeCell ref="C9:C12"/>
    <mergeCell ref="D9:D12"/>
    <mergeCell ref="E11:E12"/>
    <mergeCell ref="N13:P14"/>
    <mergeCell ref="Q13:R14"/>
    <mergeCell ref="B2:E2"/>
    <mergeCell ref="B3:D3"/>
    <mergeCell ref="E3:E7"/>
    <mergeCell ref="F3:R4"/>
    <mergeCell ref="D4:D7"/>
    <mergeCell ref="F5:R5"/>
    <mergeCell ref="F6:R6"/>
    <mergeCell ref="N2:R2"/>
  </mergeCells>
  <pageMargins left="0.25" right="0.25" top="0.75" bottom="0.75" header="0.3" footer="0.3"/>
  <pageSetup paperSize="9" scale="7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"/>
  <sheetViews>
    <sheetView zoomScale="80" zoomScaleNormal="80" workbookViewId="0">
      <selection activeCell="Q8" sqref="Q8"/>
    </sheetView>
  </sheetViews>
  <sheetFormatPr baseColWidth="10" defaultRowHeight="12.75"/>
  <cols>
    <col min="1" max="1" width="26" customWidth="1"/>
    <col min="2" max="2" width="28.140625" customWidth="1"/>
    <col min="3" max="3" width="13.7109375" customWidth="1"/>
  </cols>
  <sheetData>
    <row r="1" spans="1:17" ht="18.75" thickBot="1">
      <c r="A1" s="95" t="s">
        <v>68</v>
      </c>
      <c r="B1" s="95"/>
      <c r="C1" s="95"/>
      <c r="D1" s="95"/>
      <c r="N1" s="77" t="s">
        <v>35</v>
      </c>
      <c r="O1" s="77"/>
      <c r="P1" s="77"/>
      <c r="Q1" s="77"/>
    </row>
    <row r="2" spans="1:17" ht="13.5" thickBot="1">
      <c r="A2" s="71" t="s">
        <v>1</v>
      </c>
      <c r="B2" s="72"/>
      <c r="C2" s="73"/>
      <c r="D2" s="105" t="s">
        <v>2</v>
      </c>
      <c r="E2" s="87" t="s">
        <v>63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</row>
    <row r="3" spans="1:17">
      <c r="A3" s="1" t="s">
        <v>3</v>
      </c>
      <c r="B3" s="2" t="s">
        <v>4</v>
      </c>
      <c r="C3" s="74" t="s">
        <v>5</v>
      </c>
      <c r="D3" s="106"/>
      <c r="E3" s="90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</row>
    <row r="4" spans="1:17">
      <c r="A4" s="1" t="s">
        <v>6</v>
      </c>
      <c r="B4" s="2" t="s">
        <v>7</v>
      </c>
      <c r="C4" s="75"/>
      <c r="D4" s="106"/>
      <c r="E4" s="108" t="s">
        <v>8</v>
      </c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0"/>
    </row>
    <row r="5" spans="1:17">
      <c r="A5" s="1" t="s">
        <v>9</v>
      </c>
      <c r="B5" s="2" t="s">
        <v>10</v>
      </c>
      <c r="C5" s="75"/>
      <c r="D5" s="106"/>
      <c r="E5" s="111" t="s">
        <v>11</v>
      </c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3"/>
    </row>
    <row r="6" spans="1:17" ht="13.5" thickBot="1">
      <c r="A6" s="3"/>
      <c r="B6" s="4"/>
      <c r="C6" s="76"/>
      <c r="D6" s="107"/>
      <c r="E6" s="5" t="s">
        <v>12</v>
      </c>
      <c r="F6" s="6" t="s">
        <v>13</v>
      </c>
      <c r="G6" s="6" t="s">
        <v>14</v>
      </c>
      <c r="H6" s="6" t="s">
        <v>15</v>
      </c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7" t="s">
        <v>24</v>
      </c>
    </row>
    <row r="7" spans="1:17" ht="13.5" thickBot="1">
      <c r="A7" s="8"/>
      <c r="B7" s="9"/>
      <c r="C7" s="9"/>
      <c r="D7" s="10"/>
      <c r="E7" s="10"/>
      <c r="F7" s="10"/>
      <c r="G7" s="10"/>
      <c r="H7" s="10"/>
      <c r="I7" s="10"/>
      <c r="J7" s="10"/>
      <c r="K7" s="10"/>
    </row>
    <row r="8" spans="1:17" ht="26.25" customHeight="1">
      <c r="A8" s="96" t="s">
        <v>58</v>
      </c>
      <c r="B8" s="64" t="s">
        <v>59</v>
      </c>
      <c r="C8" s="126" t="s">
        <v>48</v>
      </c>
      <c r="D8" s="52">
        <v>141</v>
      </c>
      <c r="E8" s="49">
        <v>13</v>
      </c>
      <c r="F8" s="50">
        <v>10</v>
      </c>
      <c r="G8" s="50">
        <v>12</v>
      </c>
      <c r="H8" s="50">
        <v>7</v>
      </c>
      <c r="I8" s="50">
        <v>7</v>
      </c>
      <c r="J8" s="50">
        <v>7</v>
      </c>
      <c r="K8" s="50">
        <v>15</v>
      </c>
      <c r="L8" s="51">
        <v>12</v>
      </c>
      <c r="M8" s="51">
        <v>18</v>
      </c>
      <c r="N8" s="51">
        <v>18</v>
      </c>
      <c r="O8" s="51">
        <v>17</v>
      </c>
      <c r="P8" s="51">
        <v>5</v>
      </c>
      <c r="Q8" s="52">
        <v>141</v>
      </c>
    </row>
    <row r="9" spans="1:17" ht="23.25" customHeight="1">
      <c r="A9" s="97"/>
      <c r="B9" s="65"/>
      <c r="C9" s="127"/>
      <c r="D9" s="54">
        <v>1</v>
      </c>
      <c r="E9" s="53">
        <f>SUM(E8/D8)</f>
        <v>9.2198581560283682E-2</v>
      </c>
      <c r="F9" s="53">
        <f>SUM(F8/D8)</f>
        <v>7.0921985815602842E-2</v>
      </c>
      <c r="G9" s="53">
        <f>SUM(G8/D8)</f>
        <v>8.5106382978723402E-2</v>
      </c>
      <c r="H9" s="53">
        <f>SUM(H8/D8)</f>
        <v>4.9645390070921988E-2</v>
      </c>
      <c r="I9" s="53">
        <f>SUM(I8/D8)</f>
        <v>4.9645390070921988E-2</v>
      </c>
      <c r="J9" s="53">
        <f>SUM(J8/D8)</f>
        <v>4.9645390070921988E-2</v>
      </c>
      <c r="K9" s="53">
        <f>SUM(K8/D8)</f>
        <v>0.10638297872340426</v>
      </c>
      <c r="L9" s="53">
        <f>SUM(L8/D8)</f>
        <v>8.5106382978723402E-2</v>
      </c>
      <c r="M9" s="53">
        <f>SUM(M8/D8)</f>
        <v>0.1276595744680851</v>
      </c>
      <c r="N9" s="53">
        <f>SUM(N8/D8)</f>
        <v>0.1276595744680851</v>
      </c>
      <c r="O9" s="53">
        <f>SUM(O8/D8)</f>
        <v>0.12056737588652482</v>
      </c>
      <c r="P9" s="53">
        <f>SUM(P8/D8)</f>
        <v>3.5460992907801421E-2</v>
      </c>
      <c r="Q9" s="54">
        <f t="shared" ref="Q9:Q13" si="0">SUM(E9:P9)</f>
        <v>1</v>
      </c>
    </row>
    <row r="10" spans="1:17" ht="26.25" customHeight="1">
      <c r="A10" s="97"/>
      <c r="B10" s="65"/>
      <c r="C10" s="127"/>
      <c r="D10" s="93" t="s">
        <v>28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8">
        <f>SUM(E10:P10)</f>
        <v>0</v>
      </c>
    </row>
    <row r="11" spans="1:17" ht="27.75" customHeight="1" thickBot="1">
      <c r="A11" s="98"/>
      <c r="B11" s="130"/>
      <c r="C11" s="128"/>
      <c r="D11" s="94"/>
      <c r="E11" s="46">
        <f>+E10/D8</f>
        <v>0</v>
      </c>
      <c r="F11" s="46">
        <f>+F10/D8</f>
        <v>0</v>
      </c>
      <c r="G11" s="46">
        <f>+G10/D8</f>
        <v>0</v>
      </c>
      <c r="H11" s="46">
        <f>+H10/D8</f>
        <v>0</v>
      </c>
      <c r="I11" s="46">
        <f>+I10/D8</f>
        <v>0</v>
      </c>
      <c r="J11" s="46">
        <f>+J10/D8</f>
        <v>0</v>
      </c>
      <c r="K11" s="46">
        <f t="shared" ref="K11" si="1">+K10/D8</f>
        <v>0</v>
      </c>
      <c r="L11" s="46">
        <f>+L10/D8</f>
        <v>0</v>
      </c>
      <c r="M11" s="46">
        <f>+M10/D8</f>
        <v>0</v>
      </c>
      <c r="N11" s="46">
        <f>+N10/D8</f>
        <v>0</v>
      </c>
      <c r="O11" s="46">
        <f>+O10/D8</f>
        <v>0</v>
      </c>
      <c r="P11" s="46">
        <f>+P10/D8</f>
        <v>0</v>
      </c>
      <c r="Q11" s="47">
        <f>SUM(E11:P11)</f>
        <v>0</v>
      </c>
    </row>
    <row r="12" spans="1:17">
      <c r="M12" s="62" t="s">
        <v>29</v>
      </c>
      <c r="N12" s="62"/>
      <c r="O12" s="62"/>
      <c r="P12" s="99">
        <f>+Q10/D8</f>
        <v>0</v>
      </c>
      <c r="Q12" s="100">
        <f t="shared" si="0"/>
        <v>0</v>
      </c>
    </row>
    <row r="13" spans="1:17" ht="13.5" thickBot="1">
      <c r="I13" s="26"/>
      <c r="J13" s="26"/>
      <c r="K13" s="26"/>
      <c r="L13" s="26"/>
      <c r="M13" s="103"/>
      <c r="N13" s="103"/>
      <c r="O13" s="104"/>
      <c r="P13" s="101">
        <f>SUM(D13:O13)</f>
        <v>0</v>
      </c>
      <c r="Q13" s="102">
        <f t="shared" si="0"/>
        <v>0</v>
      </c>
    </row>
    <row r="14" spans="1:17">
      <c r="C14" s="11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7" ht="15.75">
      <c r="E15" s="61"/>
      <c r="F15" s="61"/>
      <c r="G15" s="61"/>
      <c r="H15" s="61"/>
      <c r="I15" s="61"/>
      <c r="J15" s="26"/>
      <c r="K15" s="26"/>
      <c r="L15" s="61"/>
      <c r="M15" s="61"/>
      <c r="N15" s="61"/>
      <c r="O15" s="61"/>
      <c r="P15" s="61"/>
      <c r="Q15" s="12"/>
    </row>
    <row r="16" spans="1:17" ht="15.75" thickBot="1">
      <c r="E16" s="58"/>
      <c r="F16" s="58"/>
      <c r="G16" s="58"/>
      <c r="H16" s="58"/>
      <c r="I16" s="58"/>
      <c r="J16" s="26"/>
      <c r="K16" s="26"/>
      <c r="L16" s="63"/>
      <c r="M16" s="63"/>
      <c r="N16" s="63"/>
      <c r="O16" s="63"/>
      <c r="P16" s="63"/>
    </row>
    <row r="17" spans="1:16" ht="57.75" customHeight="1" thickBot="1">
      <c r="A17" s="55" t="s">
        <v>64</v>
      </c>
      <c r="B17" s="56"/>
      <c r="C17" s="56"/>
      <c r="D17" s="57"/>
      <c r="E17" s="26"/>
      <c r="F17" s="27"/>
      <c r="G17" s="39"/>
      <c r="H17" s="26"/>
      <c r="I17" s="26"/>
      <c r="J17" s="26"/>
      <c r="K17" s="26"/>
      <c r="L17" s="26"/>
      <c r="M17" s="26"/>
      <c r="N17" s="26"/>
      <c r="O17" s="26"/>
      <c r="P17" s="26"/>
    </row>
  </sheetData>
  <mergeCells count="19">
    <mergeCell ref="P12:Q13"/>
    <mergeCell ref="A1:D1"/>
    <mergeCell ref="N1:Q1"/>
    <mergeCell ref="A2:C2"/>
    <mergeCell ref="D2:D6"/>
    <mergeCell ref="E2:Q3"/>
    <mergeCell ref="C3:C6"/>
    <mergeCell ref="E4:Q4"/>
    <mergeCell ref="E5:Q5"/>
    <mergeCell ref="A8:A11"/>
    <mergeCell ref="B8:B11"/>
    <mergeCell ref="C8:C11"/>
    <mergeCell ref="D10:D11"/>
    <mergeCell ref="M12:O13"/>
    <mergeCell ref="E15:I15"/>
    <mergeCell ref="L15:P15"/>
    <mergeCell ref="E16:I16"/>
    <mergeCell ref="L16:P16"/>
    <mergeCell ref="A17:D17"/>
  </mergeCells>
  <pageMargins left="0.25" right="0.25" top="0.75" bottom="0.75" header="0.3" footer="0.3"/>
  <pageSetup paperSize="9"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8"/>
  <sheetViews>
    <sheetView tabSelected="1" zoomScale="90" zoomScaleNormal="90" workbookViewId="0">
      <selection activeCell="P8" sqref="P8"/>
    </sheetView>
  </sheetViews>
  <sheetFormatPr baseColWidth="10" defaultRowHeight="12.75"/>
  <cols>
    <col min="1" max="1" width="23.85546875" customWidth="1"/>
    <col min="2" max="2" width="43.28515625" customWidth="1"/>
    <col min="3" max="3" width="14" customWidth="1"/>
    <col min="5" max="5" width="8.85546875" customWidth="1"/>
    <col min="6" max="6" width="9.42578125" customWidth="1"/>
    <col min="7" max="7" width="9.140625" customWidth="1"/>
    <col min="8" max="9" width="8.42578125" customWidth="1"/>
    <col min="10" max="10" width="8.5703125" customWidth="1"/>
    <col min="11" max="11" width="8.7109375" customWidth="1"/>
    <col min="12" max="12" width="8.5703125" customWidth="1"/>
    <col min="14" max="14" width="10.140625" customWidth="1"/>
    <col min="15" max="15" width="11" customWidth="1"/>
  </cols>
  <sheetData>
    <row r="1" spans="1:17" ht="18.75" thickBot="1">
      <c r="A1" s="95" t="s">
        <v>68</v>
      </c>
      <c r="B1" s="95"/>
      <c r="C1" s="95"/>
      <c r="D1" s="95"/>
      <c r="N1" s="77" t="s">
        <v>35</v>
      </c>
      <c r="O1" s="77"/>
      <c r="P1" s="77"/>
      <c r="Q1" s="77"/>
    </row>
    <row r="2" spans="1:17" ht="13.5" thickBot="1">
      <c r="A2" s="71" t="s">
        <v>1</v>
      </c>
      <c r="B2" s="72"/>
      <c r="C2" s="73"/>
      <c r="D2" s="105" t="s">
        <v>2</v>
      </c>
      <c r="E2" s="87" t="s">
        <v>63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</row>
    <row r="3" spans="1:17">
      <c r="A3" s="1" t="s">
        <v>3</v>
      </c>
      <c r="B3" s="2" t="s">
        <v>4</v>
      </c>
      <c r="C3" s="74" t="s">
        <v>5</v>
      </c>
      <c r="D3" s="106"/>
      <c r="E3" s="90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</row>
    <row r="4" spans="1:17">
      <c r="A4" s="1" t="s">
        <v>6</v>
      </c>
      <c r="B4" s="2" t="s">
        <v>7</v>
      </c>
      <c r="C4" s="75"/>
      <c r="D4" s="106"/>
      <c r="E4" s="108" t="s">
        <v>8</v>
      </c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0"/>
    </row>
    <row r="5" spans="1:17">
      <c r="A5" s="1" t="s">
        <v>9</v>
      </c>
      <c r="B5" s="2" t="s">
        <v>10</v>
      </c>
      <c r="C5" s="75"/>
      <c r="D5" s="106"/>
      <c r="E5" s="111" t="s">
        <v>11</v>
      </c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3"/>
    </row>
    <row r="6" spans="1:17" ht="13.5" thickBot="1">
      <c r="A6" s="3"/>
      <c r="B6" s="4"/>
      <c r="C6" s="76"/>
      <c r="D6" s="107"/>
      <c r="E6" s="5" t="s">
        <v>12</v>
      </c>
      <c r="F6" s="6" t="s">
        <v>13</v>
      </c>
      <c r="G6" s="6" t="s">
        <v>14</v>
      </c>
      <c r="H6" s="6" t="s">
        <v>15</v>
      </c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7" t="s">
        <v>24</v>
      </c>
    </row>
    <row r="7" spans="1:17" ht="13.5" thickBot="1">
      <c r="A7" s="44"/>
      <c r="B7" s="45"/>
      <c r="C7" s="9"/>
      <c r="D7" s="10"/>
      <c r="E7" s="10"/>
      <c r="F7" s="10"/>
      <c r="G7" s="10"/>
      <c r="H7" s="10"/>
      <c r="I7" s="10"/>
      <c r="J7" s="10"/>
      <c r="K7" s="10"/>
    </row>
    <row r="8" spans="1:17" ht="24.75" customHeight="1">
      <c r="A8" s="137" t="s">
        <v>60</v>
      </c>
      <c r="B8" s="137" t="s">
        <v>61</v>
      </c>
      <c r="C8" s="126" t="s">
        <v>48</v>
      </c>
      <c r="D8" s="52">
        <v>87</v>
      </c>
      <c r="E8" s="49">
        <v>6</v>
      </c>
      <c r="F8" s="50">
        <v>8</v>
      </c>
      <c r="G8" s="50">
        <v>8</v>
      </c>
      <c r="H8" s="50">
        <v>5</v>
      </c>
      <c r="I8" s="50">
        <v>5</v>
      </c>
      <c r="J8" s="50">
        <v>5</v>
      </c>
      <c r="K8" s="50">
        <v>5</v>
      </c>
      <c r="L8" s="51">
        <v>5</v>
      </c>
      <c r="M8" s="51">
        <v>8</v>
      </c>
      <c r="N8" s="51">
        <v>14</v>
      </c>
      <c r="O8" s="51">
        <v>15</v>
      </c>
      <c r="P8" s="51">
        <v>3</v>
      </c>
      <c r="Q8" s="52">
        <v>87</v>
      </c>
    </row>
    <row r="9" spans="1:17" ht="23.25" customHeight="1">
      <c r="A9" s="137"/>
      <c r="B9" s="137"/>
      <c r="C9" s="127"/>
      <c r="D9" s="54">
        <v>1</v>
      </c>
      <c r="E9" s="53">
        <f>SUM(E8/D8)</f>
        <v>6.8965517241379309E-2</v>
      </c>
      <c r="F9" s="53">
        <f>SUM(F8/D8)</f>
        <v>9.1954022988505746E-2</v>
      </c>
      <c r="G9" s="53">
        <f>SUM(G8/D8)</f>
        <v>9.1954022988505746E-2</v>
      </c>
      <c r="H9" s="53">
        <f>SUM(H8/D8)</f>
        <v>5.7471264367816091E-2</v>
      </c>
      <c r="I9" s="53">
        <f>SUM(I8/D8)</f>
        <v>5.7471264367816091E-2</v>
      </c>
      <c r="J9" s="53">
        <f>SUM(J8/D8)</f>
        <v>5.7471264367816091E-2</v>
      </c>
      <c r="K9" s="53">
        <f>SUM(K8/D8)</f>
        <v>5.7471264367816091E-2</v>
      </c>
      <c r="L9" s="53">
        <f>SUM(L8/D8)</f>
        <v>5.7471264367816091E-2</v>
      </c>
      <c r="M9" s="53">
        <f>SUM(M8/D8)</f>
        <v>9.1954022988505746E-2</v>
      </c>
      <c r="N9" s="53">
        <f>SUM(N8/D8)</f>
        <v>0.16091954022988506</v>
      </c>
      <c r="O9" s="53">
        <f>SUM(O8/D8)</f>
        <v>0.17241379310344829</v>
      </c>
      <c r="P9" s="53">
        <f>SUM(P8/D8)</f>
        <v>3.4482758620689655E-2</v>
      </c>
      <c r="Q9" s="54">
        <f t="shared" ref="Q9:Q13" si="0">SUM(E9:P9)</f>
        <v>1</v>
      </c>
    </row>
    <row r="10" spans="1:17" ht="22.5" customHeight="1">
      <c r="A10" s="137"/>
      <c r="B10" s="137"/>
      <c r="C10" s="127"/>
      <c r="D10" s="93" t="s">
        <v>28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8">
        <f>SUM(E10:P10)</f>
        <v>0</v>
      </c>
    </row>
    <row r="11" spans="1:17" ht="30.75" customHeight="1" thickBot="1">
      <c r="A11" s="137"/>
      <c r="B11" s="137"/>
      <c r="C11" s="128"/>
      <c r="D11" s="94"/>
      <c r="E11" s="46">
        <f>+E10/D8</f>
        <v>0</v>
      </c>
      <c r="F11" s="46">
        <f>+F10/D8</f>
        <v>0</v>
      </c>
      <c r="G11" s="46">
        <f>+G10/D8</f>
        <v>0</v>
      </c>
      <c r="H11" s="46">
        <f>+H10/D8</f>
        <v>0</v>
      </c>
      <c r="I11" s="46">
        <f>+I10/D8</f>
        <v>0</v>
      </c>
      <c r="J11" s="46">
        <f>+J10/D8</f>
        <v>0</v>
      </c>
      <c r="K11" s="46">
        <f t="shared" ref="K11" si="1">+K10/D8</f>
        <v>0</v>
      </c>
      <c r="L11" s="46">
        <f>+L10/D8</f>
        <v>0</v>
      </c>
      <c r="M11" s="46">
        <f>+M10/D8</f>
        <v>0</v>
      </c>
      <c r="N11" s="46">
        <f>+N10/D8</f>
        <v>0</v>
      </c>
      <c r="O11" s="46">
        <f>+O10/D8</f>
        <v>0</v>
      </c>
      <c r="P11" s="46">
        <f>+P10/D8</f>
        <v>0</v>
      </c>
      <c r="Q11" s="47">
        <f>SUM(E11:P11)</f>
        <v>0</v>
      </c>
    </row>
    <row r="12" spans="1:17">
      <c r="M12" s="62" t="s">
        <v>29</v>
      </c>
      <c r="N12" s="62"/>
      <c r="O12" s="62"/>
      <c r="P12" s="99">
        <f>+Q10/D8</f>
        <v>0</v>
      </c>
      <c r="Q12" s="100">
        <f t="shared" si="0"/>
        <v>0</v>
      </c>
    </row>
    <row r="13" spans="1:17" ht="13.5" thickBot="1">
      <c r="I13" s="26"/>
      <c r="J13" s="26"/>
      <c r="K13" s="26"/>
      <c r="L13" s="26"/>
      <c r="M13" s="103"/>
      <c r="N13" s="103"/>
      <c r="O13" s="104"/>
      <c r="P13" s="101">
        <f>SUM(D13:O13)</f>
        <v>0</v>
      </c>
      <c r="Q13" s="102">
        <f t="shared" si="0"/>
        <v>0</v>
      </c>
    </row>
    <row r="14" spans="1:17">
      <c r="C14" s="11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7" ht="15.75">
      <c r="E15" s="61"/>
      <c r="F15" s="61"/>
      <c r="G15" s="61"/>
      <c r="H15" s="61"/>
      <c r="I15" s="61"/>
      <c r="J15" s="26"/>
      <c r="K15" s="26"/>
      <c r="L15" s="61"/>
      <c r="M15" s="61"/>
      <c r="N15" s="61"/>
      <c r="O15" s="61"/>
      <c r="P15" s="61"/>
      <c r="Q15" s="12"/>
    </row>
    <row r="16" spans="1:17" ht="15.75" thickBot="1">
      <c r="E16" s="58"/>
      <c r="F16" s="58"/>
      <c r="G16" s="58"/>
      <c r="H16" s="58"/>
      <c r="I16" s="58"/>
      <c r="J16" s="26"/>
      <c r="K16" s="26"/>
      <c r="L16" s="63"/>
      <c r="M16" s="63"/>
      <c r="N16" s="63"/>
      <c r="O16" s="63"/>
      <c r="P16" s="63"/>
    </row>
    <row r="17" spans="1:17" ht="33.75" customHeight="1" thickBot="1">
      <c r="A17" s="55" t="s">
        <v>64</v>
      </c>
      <c r="B17" s="56"/>
      <c r="C17" s="56"/>
      <c r="D17" s="57"/>
      <c r="E17" s="26"/>
      <c r="F17" s="27"/>
      <c r="G17" s="39"/>
      <c r="H17" s="26"/>
      <c r="I17" s="26"/>
      <c r="J17" s="135" t="s">
        <v>56</v>
      </c>
      <c r="K17" s="135"/>
      <c r="L17" s="135"/>
      <c r="M17" s="135"/>
      <c r="N17" s="135"/>
      <c r="O17" s="135"/>
      <c r="P17" s="135"/>
      <c r="Q17" s="135"/>
    </row>
    <row r="18" spans="1:17" ht="18" customHeight="1">
      <c r="J18" s="136" t="s">
        <v>57</v>
      </c>
      <c r="K18" s="136"/>
      <c r="L18" s="136"/>
      <c r="M18" s="136"/>
      <c r="N18" s="136"/>
      <c r="O18" s="136"/>
      <c r="P18" s="136"/>
      <c r="Q18" s="136"/>
    </row>
  </sheetData>
  <mergeCells count="21">
    <mergeCell ref="J18:Q18"/>
    <mergeCell ref="P12:Q13"/>
    <mergeCell ref="A1:D1"/>
    <mergeCell ref="N1:Q1"/>
    <mergeCell ref="A2:C2"/>
    <mergeCell ref="D2:D6"/>
    <mergeCell ref="E2:Q3"/>
    <mergeCell ref="C3:C6"/>
    <mergeCell ref="E4:Q4"/>
    <mergeCell ref="E5:Q5"/>
    <mergeCell ref="A8:A11"/>
    <mergeCell ref="B8:B11"/>
    <mergeCell ref="C8:C11"/>
    <mergeCell ref="D10:D11"/>
    <mergeCell ref="M12:O13"/>
    <mergeCell ref="E15:I15"/>
    <mergeCell ref="L15:P15"/>
    <mergeCell ref="E16:I16"/>
    <mergeCell ref="L16:P16"/>
    <mergeCell ref="A17:D17"/>
    <mergeCell ref="J17:Q17"/>
  </mergeCells>
  <pageMargins left="0.25" right="0.25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indicador 1</vt:lpstr>
      <vt:lpstr>indicador 2</vt:lpstr>
      <vt:lpstr>indicador 3</vt:lpstr>
      <vt:lpstr>indicador 4</vt:lpstr>
      <vt:lpstr>indicador 5</vt:lpstr>
      <vt:lpstr>indicador 6</vt:lpstr>
      <vt:lpstr>indicador 7</vt:lpstr>
      <vt:lpstr>indicador 8</vt:lpstr>
      <vt:lpstr>indicador 9</vt:lpstr>
      <vt:lpstr>indicador 10</vt:lpstr>
      <vt:lpstr>'indicador 1'!Área_de_impresión</vt:lpstr>
      <vt:lpstr>'indicador 2'!Área_de_impresión</vt:lpstr>
    </vt:vector>
  </TitlesOfParts>
  <Company>SSP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raul.tlapanco</dc:creator>
  <cp:lastModifiedBy>Jhonathan Joel Santamaria Chavez</cp:lastModifiedBy>
  <cp:revision/>
  <cp:lastPrinted>2020-02-07T23:21:28Z</cp:lastPrinted>
  <dcterms:created xsi:type="dcterms:W3CDTF">2009-03-10T23:33:27Z</dcterms:created>
  <dcterms:modified xsi:type="dcterms:W3CDTF">2021-05-27T22:57:44Z</dcterms:modified>
</cp:coreProperties>
</file>